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0_Start_Here" sheetId="1" state="visible" r:id="rId1"/>
    <sheet xmlns:r="http://schemas.openxmlformats.org/officeDocument/2006/relationships" name="1_Your_Details" sheetId="2" state="visible" r:id="rId2"/>
    <sheet xmlns:r="http://schemas.openxmlformats.org/officeDocument/2006/relationships" name="2_Must_haves" sheetId="3" state="visible" r:id="rId3"/>
    <sheet xmlns:r="http://schemas.openxmlformats.org/officeDocument/2006/relationships" name="3_Levels" sheetId="4" state="visible" r:id="rId4"/>
    <sheet xmlns:r="http://schemas.openxmlformats.org/officeDocument/2006/relationships" name="4_Integration" sheetId="5" state="visible" r:id="rId5"/>
    <sheet xmlns:r="http://schemas.openxmlformats.org/officeDocument/2006/relationships" name="5_Metrics" sheetId="6" state="visible" r:id="rId6"/>
    <sheet xmlns:r="http://schemas.openxmlformats.org/officeDocument/2006/relationships" name="6_Hard_cases" sheetId="7" state="visible" r:id="rId7"/>
    <sheet xmlns:r="http://schemas.openxmlformats.org/officeDocument/2006/relationships" name="7_Declaration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14212B"/>
      <sz val="10"/>
    </font>
    <font>
      <name val="Arial"/>
      <charset val="1"/>
      <family val="0"/>
      <b val="1"/>
      <color rgb="FF14212B"/>
      <sz val="10"/>
    </font>
    <font>
      <name val="Arial"/>
      <charset val="1"/>
      <family val="0"/>
      <i val="1"/>
      <color rgb="FF5B6B78"/>
      <sz val="10"/>
    </font>
  </fonts>
  <fills count="8">
    <fill>
      <patternFill/>
    </fill>
    <fill>
      <patternFill patternType="gray125"/>
    </fill>
    <fill>
      <patternFill patternType="solid">
        <fgColor rgb="FF0B1B2B"/>
        <bgColor rgb="FF14212B"/>
      </patternFill>
    </fill>
    <fill>
      <patternFill patternType="solid">
        <fgColor rgb="FF008F8A"/>
        <bgColor rgb="FF008080"/>
      </patternFill>
    </fill>
    <fill>
      <patternFill patternType="solid">
        <fgColor rgb="FFF3F5F7"/>
        <bgColor rgb="FFE7F5F3"/>
      </patternFill>
    </fill>
    <fill>
      <patternFill patternType="solid">
        <fgColor rgb="FF12324D"/>
        <bgColor rgb="FF14212B"/>
      </patternFill>
    </fill>
    <fill>
      <patternFill patternType="solid">
        <fgColor rgb="FFE7F5F3"/>
        <bgColor rgb="FFF3F5F7"/>
      </patternFill>
    </fill>
    <fill>
      <patternFill patternType="solid">
        <fgColor rgb="FFFFF4C7"/>
        <bgColor rgb="FFF3F5F7"/>
      </patternFill>
    </fill>
  </fills>
  <borders count="7">
    <border>
      <left/>
      <right/>
      <top/>
      <bottom/>
      <diagonal/>
    </border>
    <border>
      <left style="thin">
        <color rgb="FFD5DDE3"/>
      </left>
      <right/>
      <top style="thin">
        <color rgb="FFD5DDE3"/>
      </top>
      <bottom style="thin">
        <color rgb="FFD5DDE3"/>
      </bottom>
      <diagonal/>
    </border>
    <border>
      <left style="thin">
        <color rgb="FFD5DDE3"/>
      </left>
      <right style="thin">
        <color rgb="FFD5DDE3"/>
      </right>
      <top style="thin">
        <color rgb="FFD5DDE3"/>
      </top>
      <bottom style="thin">
        <color rgb="FFD5DDE3"/>
      </bottom>
      <diagonal/>
    </border>
    <border>
      <left/>
      <right/>
      <top style="thin">
        <color rgb="FFD5DDE3"/>
      </top>
      <bottom/>
      <diagonal/>
    </border>
    <border>
      <left/>
      <right/>
      <top style="thin">
        <color rgb="FFD5DDE3"/>
      </top>
      <bottom style="thin">
        <color rgb="FFD5DDE3"/>
      </bottom>
      <diagonal/>
    </border>
    <border>
      <left/>
      <right style="thin">
        <color rgb="FFD5DDE3"/>
      </right>
      <top style="thin">
        <color rgb="FFD5DDE3"/>
      </top>
      <bottom/>
      <diagonal/>
    </border>
    <border>
      <left/>
      <right style="thin">
        <color rgb="FFD5DDE3"/>
      </right>
      <top style="thin">
        <color rgb="FFD5DDE3"/>
      </top>
      <bottom style="thin">
        <color rgb="FFD5DDE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6" fillId="3" borderId="2" applyAlignment="1" pivotButton="0" quotePrefix="0" xfId="0">
      <alignment horizontal="general" vertical="top" wrapText="1"/>
    </xf>
    <xf numFmtId="0" fontId="7" fillId="0" borderId="2" applyAlignment="1" pivotButton="0" quotePrefix="0" xfId="0">
      <alignment horizontal="general" vertical="top" wrapText="1"/>
    </xf>
    <xf numFmtId="0" fontId="8" fillId="4" borderId="2" applyAlignment="1" pivotButton="0" quotePrefix="0" xfId="0">
      <alignment horizontal="general" vertical="top" wrapText="1"/>
    </xf>
    <xf numFmtId="0" fontId="6" fillId="5" borderId="2" applyAlignment="1" pivotButton="0" quotePrefix="0" xfId="0">
      <alignment horizontal="general" vertical="top" wrapText="1"/>
    </xf>
    <xf numFmtId="0" fontId="7" fillId="5" borderId="2" applyAlignment="1" pivotButton="0" quotePrefix="0" xfId="0">
      <alignment horizontal="general" vertical="top" wrapText="1"/>
    </xf>
    <xf numFmtId="0" fontId="8" fillId="6" borderId="2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7" fillId="7" borderId="2" applyAlignment="1" pivotButton="0" quotePrefix="0" xfId="0">
      <alignment horizontal="general" vertical="top" wrapText="1"/>
    </xf>
    <xf numFmtId="0" fontId="9" fillId="4" borderId="2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top" wrapText="1"/>
    </xf>
    <xf numFmtId="0" fontId="0" fillId="0" borderId="4" pivotButton="0" quotePrefix="0" xfId="0"/>
    <xf numFmtId="0" fontId="5" fillId="3" borderId="1" applyAlignment="1" pivotButton="0" quotePrefix="0" xfId="0">
      <alignment horizontal="general" vertical="top" wrapText="1"/>
    </xf>
    <xf numFmtId="0" fontId="6" fillId="3" borderId="2" applyAlignment="1" pivotButton="0" quotePrefix="0" xfId="0">
      <alignment horizontal="general" vertical="top" wrapText="1"/>
    </xf>
    <xf numFmtId="0" fontId="7" fillId="0" borderId="2" applyAlignment="1" pivotButton="0" quotePrefix="0" xfId="0">
      <alignment horizontal="general" vertical="top" wrapText="1"/>
    </xf>
    <xf numFmtId="0" fontId="8" fillId="4" borderId="2" applyAlignment="1" pivotButton="0" quotePrefix="0" xfId="0">
      <alignment horizontal="general" vertical="top" wrapText="1"/>
    </xf>
    <xf numFmtId="0" fontId="6" fillId="5" borderId="2" applyAlignment="1" pivotButton="0" quotePrefix="0" xfId="0">
      <alignment horizontal="general" vertical="top" wrapText="1"/>
    </xf>
    <xf numFmtId="0" fontId="7" fillId="5" borderId="2" applyAlignment="1" pivotButton="0" quotePrefix="0" xfId="0">
      <alignment horizontal="general" vertical="top" wrapText="1"/>
    </xf>
    <xf numFmtId="0" fontId="8" fillId="6" borderId="2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7" fillId="7" borderId="2" applyAlignment="1" pivotButton="0" quotePrefix="0" xfId="0">
      <alignment horizontal="general" vertical="top" wrapText="1"/>
    </xf>
    <xf numFmtId="0" fontId="9" fillId="4" borderId="2" applyAlignment="1" pivotButton="0" quotePrefix="0" xfId="0">
      <alignment horizontal="general" vertical="top" wrapText="1"/>
    </xf>
    <xf numFmtId="0" fontId="0" fillId="0" borderId="6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F8A"/>
      <rgbColor rgb="FFC0C0C0"/>
      <rgbColor rgb="FF808080"/>
      <rgbColor rgb="FF9999FF"/>
      <rgbColor rgb="FF993366"/>
      <rgbColor rgb="FFFFF4C7"/>
      <rgbColor rgb="FFE7F5F3"/>
      <rgbColor rgb="FF660066"/>
      <rgbColor rgb="FFFF8080"/>
      <rgbColor rgb="FF0066CC"/>
      <rgbColor rgb="FFD5DD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5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78"/>
      <rgbColor rgb="FF969696"/>
      <rgbColor rgb="FF12324D"/>
      <rgbColor rgb="FF339966"/>
      <rgbColor rgb="FF0B1B2B"/>
      <rgbColor rgb="FF333300"/>
      <rgbColor rgb="FF993300"/>
      <rgbColor rgb="FF993366"/>
      <rgbColor rgb="FF333399"/>
      <rgbColor rgb="FF14212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2" min="1" max="1"/>
    <col width="96" customWidth="1" style="12" min="2" max="2"/>
    <col width="16" customWidth="1" style="12" min="3" max="3"/>
  </cols>
  <sheetData>
    <row r="1" ht="24" customHeight="1" s="13">
      <c r="A1" s="14" t="inlineStr">
        <is>
          <t>IncuBrix Engineering Assessment 2 | Prompt-Based Video Editing Engine | Submission Form</t>
        </is>
      </c>
      <c r="B1" s="15" t="n"/>
      <c r="C1" s="15" t="n"/>
    </row>
    <row r="2" ht="31.5" customHeight="1" s="13">
      <c r="A2" s="16" t="inlineStr">
        <is>
          <t>This form is how you show us what you built. Fill it as you work. We verify every claim, so be precise.</t>
        </is>
      </c>
      <c r="B2" s="15" t="n"/>
      <c r="C2" s="15" t="n"/>
    </row>
    <row r="4" ht="19.5" customHeight="1" s="13">
      <c r="A4" s="17" t="n">
        <v>1</v>
      </c>
      <c r="B4" s="18" t="inlineStr">
        <is>
          <t>Read the assessment brief (PDF) first.</t>
        </is>
      </c>
    </row>
    <row r="5" ht="19.5" customHeight="1" s="13">
      <c r="A5" s="17" t="n">
        <v>2</v>
      </c>
      <c r="B5" s="18" t="inlineStr">
        <is>
          <t>1_Your_Details: your contact details and all links.</t>
        </is>
      </c>
    </row>
    <row r="6" ht="19.5" customHeight="1" s="13">
      <c r="A6" s="17" t="n">
        <v>3</v>
      </c>
      <c r="B6" s="18" t="inlineStr">
        <is>
          <t>2_Must_haves: mark each must-have Yes or No with evidence. Every one must pass to be selected.</t>
        </is>
      </c>
    </row>
    <row r="7" ht="19.5" customHeight="1" s="13">
      <c r="A7" s="17" t="n">
        <v>4</v>
      </c>
      <c r="B7" s="18" t="inlineStr">
        <is>
          <t>3_Levels: mark each item Yes / Partial / No with evidence. The level you reached is calculated for you.</t>
        </is>
      </c>
    </row>
    <row r="8" ht="19.5" customHeight="1" s="13">
      <c r="A8" s="17" t="n">
        <v>5</v>
      </c>
      <c r="B8" s="18" t="inlineStr">
        <is>
          <t>4_Integration: mark each Integration Standard point with evidence.</t>
        </is>
      </c>
    </row>
    <row r="9" ht="19.5" customHeight="1" s="13">
      <c r="A9" s="17" t="n">
        <v>6</v>
      </c>
      <c r="B9" s="18" t="inlineStr">
        <is>
          <t>5_Metrics: enter your measured numbers.  6_Hard_cases: say how your system handles each situation.</t>
        </is>
      </c>
    </row>
    <row r="10" ht="19.5" customHeight="1" s="13">
      <c r="A10" s="17" t="n">
        <v>7</v>
      </c>
      <c r="B10" s="18" t="inlineStr">
        <is>
          <t>7_Declaration: answer every statement and sign.</t>
        </is>
      </c>
    </row>
    <row r="11" ht="19.5" customHeight="1" s="13">
      <c r="A11" s="17" t="n">
        <v>8</v>
      </c>
      <c r="B11" s="18" t="inlineStr">
        <is>
          <t>Save as Assessment2_YourName.xlsx and attach it to your reply to the invitation email before the deadline.</t>
        </is>
      </c>
    </row>
    <row r="13" ht="15" customHeight="1" s="13">
      <c r="B13" s="19" t="inlineStr">
        <is>
          <t>Colour key: YELLOW = you fill in.  GREEN = calculated automatically.  GREY = instructions or example.</t>
        </is>
      </c>
    </row>
    <row r="15" ht="15" customHeight="1" s="13">
      <c r="B15" s="20" t="inlineStr">
        <is>
          <t>Your self-check (updates as you fill the form)</t>
        </is>
      </c>
      <c r="C15" s="21" t="n"/>
    </row>
    <row r="16" ht="15" customHeight="1" s="13">
      <c r="B16" s="19" t="inlineStr">
        <is>
          <t>Must-haves marked Yes</t>
        </is>
      </c>
      <c r="C16" s="22">
        <f>COUNTIF(2_Must_haves!C6:C13,"Yes")&amp;" of 8"</f>
        <v/>
      </c>
    </row>
    <row r="17" ht="15" customHeight="1" s="13">
      <c r="B17" s="19" t="inlineStr">
        <is>
          <t>Level reached</t>
        </is>
      </c>
      <c r="C17" s="22">
        <f>3_Levels!C17</f>
        <v/>
      </c>
    </row>
    <row r="18" ht="15" customHeight="1" s="13">
      <c r="B18" s="19" t="inlineStr">
        <is>
          <t>Level marks claimed (40)</t>
        </is>
      </c>
      <c r="C18" s="22">
        <f>3_Levels!C18</f>
        <v/>
      </c>
    </row>
    <row r="19" ht="15" customHeight="1" s="13">
      <c r="B19" s="19" t="inlineStr">
        <is>
          <t>Integration marks claimed (20)</t>
        </is>
      </c>
      <c r="C19" s="22">
        <f>4_Integration!C15</f>
        <v/>
      </c>
    </row>
    <row r="20" ht="15" customHeight="1" s="13">
      <c r="B20" s="19" t="inlineStr">
        <is>
          <t>Self-assessed marks before our checks (60)</t>
        </is>
      </c>
      <c r="C20" s="22">
        <f>3_Levels!C18+4_Integration!C15</f>
        <v/>
      </c>
    </row>
    <row r="22" ht="43.5" customHeight="1" s="13">
      <c r="B22" s="23" t="inlineStr">
        <is>
          <t>We then verify your claims and add up to 20 marks for 5 hidden tests (screening total 80). Candidates with all must-haves verified and 60+ in screening are invited to a live session worth 20 marks. A claim without evidence scores 0; a false claim disqualifies the submission.</t>
        </is>
      </c>
      <c r="C22" s="15" t="n"/>
    </row>
  </sheetData>
  <mergeCells count="3">
    <mergeCell ref="A1:C1"/>
    <mergeCell ref="B22:C22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2" min="1" max="1"/>
    <col width="70" customWidth="1" style="12" min="2" max="2"/>
  </cols>
  <sheetData>
    <row r="1" ht="24" customHeight="1" s="13">
      <c r="A1" s="14" t="inlineStr">
        <is>
          <t>IncuBrix Assessment 2 | Submission Form | Prompt-Based Video Editing Engine</t>
        </is>
      </c>
      <c r="B1" s="15" t="n"/>
    </row>
    <row r="2" ht="31.5" customHeight="1" s="13">
      <c r="A2" s="16" t="inlineStr">
        <is>
          <t>Fill every YELLOW cell. Put links to evidence (repo path, output file, log, demo-video timestamp or URL) next to every claim. Save as Assessment2_&lt;YourName&gt;.xlsx and attach it to your reply email.</t>
        </is>
      </c>
      <c r="B2" s="15" t="n"/>
    </row>
    <row r="4" ht="19.5" customHeight="1" s="13">
      <c r="A4" s="19" t="inlineStr">
        <is>
          <t>Full name</t>
        </is>
      </c>
      <c r="B4" s="24" t="n"/>
    </row>
    <row r="5" ht="19.5" customHeight="1" s="13">
      <c r="A5" s="19" t="inlineStr">
        <is>
          <t>Email</t>
        </is>
      </c>
      <c r="B5" s="24" t="n"/>
    </row>
    <row r="6" ht="19.5" customHeight="1" s="13">
      <c r="A6" s="19" t="inlineStr">
        <is>
          <t>Phone</t>
        </is>
      </c>
      <c r="B6" s="24" t="n"/>
    </row>
    <row r="7" ht="19.5" customHeight="1" s="13">
      <c r="A7" s="19" t="inlineStr">
        <is>
          <t>College and degree</t>
        </is>
      </c>
      <c r="B7" s="24" t="n"/>
    </row>
    <row r="8" ht="19.5" customHeight="1" s="13">
      <c r="A8" s="19" t="inlineStr">
        <is>
          <t>Graduation year</t>
        </is>
      </c>
      <c r="B8" s="24" t="n"/>
    </row>
    <row r="9" ht="19.5" customHeight="1" s="13">
      <c r="A9" s="19" t="inlineStr">
        <is>
          <t>Live demo URL</t>
        </is>
      </c>
      <c r="B9" s="24" t="inlineStr">
        <is>
          <t>http://localhost:8000</t>
        </is>
      </c>
    </row>
    <row r="10" ht="19.5" customHeight="1" s="13">
      <c r="A10" s="19" t="inlineStr">
        <is>
          <t>Live demo access token or login (if protected)</t>
        </is>
      </c>
      <c r="B10" s="24" t="n"/>
    </row>
    <row r="11" ht="19.5" customHeight="1" s="13">
      <c r="A11" s="19" t="inlineStr">
        <is>
          <t>Cold-start wait time (if any)</t>
        </is>
      </c>
      <c r="B11" s="24" t="inlineStr">
        <is>
          <t>None (runs locally via docker compose up)</t>
        </is>
      </c>
    </row>
    <row r="12" ht="19.5" customHeight="1" s="13">
      <c r="A12" s="19" t="inlineStr">
        <is>
          <t>Repository URL (private, reviewer invited)</t>
        </is>
      </c>
      <c r="B12" s="24" t="n"/>
    </row>
    <row r="13" ht="19.5" customHeight="1" s="13">
      <c r="A13" s="19" t="inlineStr">
        <is>
          <t>Demo video URL (max 8 min, unedited)</t>
        </is>
      </c>
      <c r="B13" s="24" t="n"/>
    </row>
    <row r="14" ht="19.5" customHeight="1" s="13">
      <c r="A14" s="19" t="inlineStr">
        <is>
          <t>REPORT.md link</t>
        </is>
      </c>
      <c r="B14" s="24" t="inlineStr">
        <is>
          <t>REPORT.md</t>
        </is>
      </c>
    </row>
    <row r="15" ht="19.5" customHeight="1" s="13">
      <c r="A15" s="19" t="inlineStr">
        <is>
          <t>Compute used (laptop / cloud / GPU, with specs)</t>
        </is>
      </c>
      <c r="B15" s="24" t="inlineStr">
        <is>
          <t>Windows 11 laptop, AMD CPU, 16 GB RAM, no GPU</t>
        </is>
      </c>
    </row>
    <row r="16" ht="19.5" customHeight="1" s="13">
      <c r="A16" s="19" t="inlineStr">
        <is>
          <t>Paid services used and total cost</t>
        </is>
      </c>
      <c r="B16" s="24" t="inlineStr">
        <is>
          <t>Groq API (free tier) ~\.00 in tests; no paid GPU</t>
        </is>
      </c>
    </row>
    <row r="17" ht="19.5" customHeight="1" s="13">
      <c r="A17" s="19" t="inlineStr">
        <is>
          <t>AI coding tools used (details in AI_USE.md)</t>
        </is>
      </c>
      <c r="B17" s="24" t="inlineStr">
        <is>
          <t>Google Gemini (Antigravity IDE) for code generation and debugging</t>
        </is>
      </c>
    </row>
    <row r="18" ht="19.5" customHeight="1" s="13">
      <c r="A18" s="19" t="inlineStr">
        <is>
          <t>Approximate hours spent</t>
        </is>
      </c>
      <c r="B18" s="24" t="inlineStr">
        <is>
          <t>~40 hours</t>
        </is>
      </c>
    </row>
  </sheetData>
  <mergeCells count="2">
    <mergeCell ref="A2:B2"/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12" min="1" max="1"/>
    <col width="60" customWidth="1" style="12" min="2" max="2"/>
    <col width="10" customWidth="1" style="12" min="3" max="3"/>
    <col width="50" customWidth="1" style="12" min="4" max="4"/>
    <col width="36" customWidth="1" style="12" min="5" max="5"/>
  </cols>
  <sheetData>
    <row r="1" ht="24" customHeight="1" s="13">
      <c r="A1" s="14" t="inlineStr">
        <is>
          <t>Must-haves - every one must pass</t>
        </is>
      </c>
      <c r="B1" s="15" t="n"/>
      <c r="C1" s="15" t="n"/>
      <c r="D1" s="15" t="n"/>
      <c r="E1" s="15" t="n"/>
    </row>
    <row r="2" ht="31.5" customHeight="1" s="13">
      <c r="A2" s="16" t="inlineStr">
        <is>
          <t>Mark Met = Yes only if it fully works. Give links that let us check it in minutes.</t>
        </is>
      </c>
      <c r="B2" s="15" t="n"/>
      <c r="C2" s="15" t="n"/>
      <c r="D2" s="15" t="n"/>
      <c r="E2" s="15" t="n"/>
    </row>
    <row r="4" ht="30" customHeight="1" s="13">
      <c r="A4" s="20" t="inlineStr">
        <is>
          <t>#</t>
        </is>
      </c>
      <c r="B4" s="20" t="inlineStr">
        <is>
          <t>Must-have</t>
        </is>
      </c>
      <c r="C4" s="20" t="inlineStr">
        <is>
          <t>Met?</t>
        </is>
      </c>
      <c r="D4" s="20" t="inlineStr">
        <is>
          <t>Evidence links (files, logs, tests, video timestamp)</t>
        </is>
      </c>
      <c r="E4" s="20" t="inlineStr">
        <is>
          <t>Notes / limits</t>
        </is>
      </c>
    </row>
    <row r="5" ht="23.85" customHeight="1" s="13">
      <c r="A5" s="25" t="inlineStr">
        <is>
          <t>Ex.</t>
        </is>
      </c>
      <c r="B5" s="25" t="inlineStr">
        <is>
          <t>Example row - shows the expected format (do not edit)</t>
        </is>
      </c>
      <c r="C5" s="25" t="inlineStr">
        <is>
          <t>Yes</t>
        </is>
      </c>
      <c r="D5" s="25" t="inlineStr">
        <is>
          <t>repo/tests/test_length.py ; outputs/run_07/manifest.json ; demo video 02:15</t>
        </is>
      </c>
      <c r="E5" s="25" t="inlineStr">
        <is>
          <t>Fails above 290 s - see REPORT.md section 4</t>
        </is>
      </c>
    </row>
    <row r="6" ht="55.5" customHeight="1" s="13">
      <c r="A6" s="18" t="n">
        <v>1</v>
      </c>
      <c r="B6" s="18" t="inlineStr">
        <is>
          <t>Never damage the original. Every edit is a step in a history applied on top of the untouched original; rendering is separate.
We verify: We check the source file hash and the history after a session.</t>
        </is>
      </c>
      <c r="C6" s="24" t="inlineStr">
        <is>
          <t>Yes</t>
        </is>
      </c>
      <c r="D6" s="24" t="inlineStr">
        <is>
          <t>src/promptcut/media/intake.py (compute_file_sha256); tests/test_intake.py; REPORT.md §3.1</t>
        </is>
      </c>
      <c r="E6" s="24" t="inlineStr">
        <is>
          <t>SHA-256 verified at session end. All edits are non-destructive log entries.</t>
        </is>
      </c>
    </row>
    <row r="7" ht="55.5" customHeight="1" s="13">
      <c r="A7" s="18" t="n">
        <v>2</v>
      </c>
      <c r="B7" s="18" t="inlineStr">
        <is>
          <t>Edits stick to content. Captions, mutes, bleeps and effects stay on their words after cuts, speed changes, reorders and restores.
We verify: Scripted sessions; we inspect timelines and rendered frames.</t>
        </is>
      </c>
      <c r="C7" s="24" t="inlineStr">
        <is>
          <t>Yes</t>
        </is>
      </c>
      <c r="D7" s="24" t="inlineStr">
        <is>
          <t>src/promptcut/engine.py (apply()); tests/test_engine.py; tests/test_spec_worked_example.py</t>
        </is>
      </c>
      <c r="E7" s="24" t="inlineStr">
        <is>
          <t>Captions/mutes/bleeps anchored to word_ids, not timestamps.</t>
        </is>
      </c>
    </row>
    <row r="8" ht="42" customHeight="1" s="13">
      <c r="A8" s="18" t="n">
        <v>3</v>
      </c>
      <c r="B8" s="18" t="inlineStr">
        <is>
          <t>Three-way answers. Every instruction returns Applied, Needs clarification or Rejected, in the formats above.
We verify: Every step of every session.</t>
        </is>
      </c>
      <c r="C8" s="24" t="inlineStr">
        <is>
          <t>Yes</t>
        </is>
      </c>
      <c r="D8" s="24" t="inlineStr">
        <is>
          <t>src/promptcut/api/routes.py (evaluate_instruction); tests/test_caption_and_word_edit.py</t>
        </is>
      </c>
      <c r="E8" s="24" t="inlineStr">
        <is>
          <t>All instructions return status: applied|needs_clarification|rejected with structured payload.</t>
        </is>
      </c>
    </row>
    <row r="9" ht="69.75" customHeight="1" s="13">
      <c r="A9" s="18" t="n">
        <v>4</v>
      </c>
      <c r="B9" s="18" t="inlineStr">
        <is>
          <t>Predictable. The same session always produces the same timeline. An AI model may only translate words into structured operations; all timeline logic is ordinary code you wrote.
We verify: We run each session 3 times and compare timeline_hash; we read the code.</t>
        </is>
      </c>
      <c r="C9" s="24" t="inlineStr">
        <is>
          <t>Yes</t>
        </is>
      </c>
      <c r="D9" s="24" t="inlineStr">
        <is>
          <t>tests/test_engine.py (test_determinism_replay_3_times); REPORT.md §5 Determinism: 100%</t>
        </is>
      </c>
      <c r="E9" s="24" t="inlineStr">
        <is>
          <t>timeline_hash identical across 3 replays. LLM only translates text to ops; apply() is pure.</t>
        </is>
      </c>
    </row>
    <row r="10" ht="55.5" customHeight="1" s="13">
      <c r="A10" s="18" t="n">
        <v>5</v>
      </c>
      <c r="B10" s="18" t="inlineStr">
        <is>
          <t>Render matches the timeline. Audio and video in sync within 1 frame, and rendered length equals timeline length within 1 frame, after any mix of edits.
We verify: Frame-accurate measurement on rendered outputs.</t>
        </is>
      </c>
      <c r="C10" s="24" t="inlineStr">
        <is>
          <t>Yes</t>
        </is>
      </c>
      <c r="D10" s="24" t="inlineStr">
        <is>
          <t>src/promptcut/render/ffmpeg.py; tests/test_render.py (ffprobe duration check)</t>
        </is>
      </c>
      <c r="E10" s="24" t="inlineStr">
        <is>
          <t>A/V sync within ±0.03 s. Length matches within ±0.04 s (1 frame at 25 fps).</t>
        </is>
      </c>
    </row>
    <row r="11" ht="42" customHeight="1" s="13">
      <c r="A11" s="18" t="n">
        <v>6</v>
      </c>
      <c r="B11" s="18" t="inlineStr">
        <is>
          <t>All operations above work, including undo/redo (one instruction = one undo; a new edit clears redo) and restoring a specific earlier edit.
We verify: Scripted sessions.</t>
        </is>
      </c>
      <c r="C11" s="24" t="inlineStr">
        <is>
          <t>Yes</t>
        </is>
      </c>
      <c r="D11" s="24" t="inlineStr">
        <is>
          <t>src/promptcut/models/operation_log.py; tests/test_spec_worked_example.py (steps 1-8)</t>
        </is>
      </c>
      <c r="E11" s="24" t="inlineStr">
        <is>
          <t>Undo pointer-based. New edit clears redo. restore_op() toggles any historic edit.</t>
        </is>
      </c>
    </row>
    <row r="12" ht="55.5" customHeight="1" s="13">
      <c r="A12" s="18" t="n">
        <v>7</v>
      </c>
      <c r="B12" s="18" t="inlineStr">
        <is>
          <t>A clear time policy. When a user says "at 1:20" after earlier cuts, your system uses one stated policy (original time or current time), everywhere, and says which one in its answer.
We verify: Scripted sessions.</t>
        </is>
      </c>
      <c r="C12" s="24" t="inlineStr">
        <is>
          <t>Yes</t>
        </is>
      </c>
      <c r="D12" s="24" t="inlineStr">
        <is>
          <t>src/promptcut/config.py (TIME_POLICY); every instruction response includes time_policy field</t>
        </is>
      </c>
      <c r="E12" s="24" t="inlineStr">
        <is>
          <t>TIME_POLICY=original (configurable). Always stated in response payload.</t>
        </is>
      </c>
    </row>
    <row r="13" ht="42" customHeight="1" s="13">
      <c r="A13" s="18" t="n">
        <v>8</v>
      </c>
      <c r="B13" s="18" t="inlineStr">
        <is>
          <t>Integration Standard followed, the session runner works, and the live demo works for the whole review period.
We verify: See the Integration Standard section.</t>
        </is>
      </c>
      <c r="C13" s="24" t="inlineStr">
        <is>
          <t>Yes</t>
        </is>
      </c>
      <c r="D13" s="24" t="inlineStr">
        <is>
          <t>docker-compose.yml; scripts/export_openapi.py; openapi.yaml; src/promptcut/cli/</t>
        </is>
      </c>
      <c r="E13" s="24" t="inlineStr">
        <is>
          <t>See 4_Integration sheet for detailed per-point evidence.</t>
        </is>
      </c>
    </row>
  </sheetData>
  <mergeCells count="2">
    <mergeCell ref="A2:E2"/>
    <mergeCell ref="A1:E1"/>
  </mergeCells>
  <dataValidations count="1">
    <dataValidation sqref="C6:C13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12" min="1" max="1"/>
    <col width="62" customWidth="1" style="12" min="2" max="2"/>
    <col width="11" customWidth="1" style="12" min="3" max="3"/>
    <col width="44" customWidth="1" style="12" min="4" max="4"/>
    <col width="34" customWidth="1" style="12" min="5" max="5"/>
  </cols>
  <sheetData>
    <row r="1" ht="24" customHeight="1" s="13">
      <c r="A1" s="14" t="inlineStr">
        <is>
          <t>Levels you reached</t>
        </is>
      </c>
      <c r="B1" s="15" t="n"/>
      <c r="C1" s="15" t="n"/>
      <c r="D1" s="15" t="n"/>
      <c r="E1" s="15" t="n"/>
    </row>
    <row r="2" ht="31.5" customHeight="1" s="13">
      <c r="A2" s="16" t="inlineStr">
        <is>
          <t>A level counts only if every item in it is Yes, and only if the level before it counts. Core 15 marks, Advanced 15, Outstanding 10.</t>
        </is>
      </c>
      <c r="B2" s="15" t="n"/>
      <c r="C2" s="15" t="n"/>
      <c r="D2" s="15" t="n"/>
      <c r="E2" s="15" t="n"/>
    </row>
    <row r="4" ht="30" customHeight="1" s="13">
      <c r="A4" s="20" t="inlineStr">
        <is>
          <t>Level</t>
        </is>
      </c>
      <c r="B4" s="20" t="inlineStr">
        <is>
          <t>Item</t>
        </is>
      </c>
      <c r="C4" s="20" t="inlineStr">
        <is>
          <t>Done?</t>
        </is>
      </c>
      <c r="D4" s="20" t="inlineStr">
        <is>
          <t>Evidence links</t>
        </is>
      </c>
      <c r="E4" s="20" t="inlineStr">
        <is>
          <t>How we can see it (command, URL, file)</t>
        </is>
      </c>
    </row>
    <row r="5" ht="19.5" customHeight="1" s="13">
      <c r="A5" s="19" t="inlineStr">
        <is>
          <t>Core</t>
        </is>
      </c>
      <c r="B5" s="18" t="inlineStr">
        <is>
          <t>All must-haves pass.</t>
        </is>
      </c>
      <c r="C5" s="24" t="inlineStr">
        <is>
          <t>Yes</t>
        </is>
      </c>
      <c r="D5" s="24" t="inlineStr">
        <is>
          <t>2_Must_haves sheet — all 8 marked Yes</t>
        </is>
      </c>
      <c r="E5" s="24" t="n"/>
    </row>
    <row r="6" ht="27.75" customHeight="1" s="13">
      <c r="A6" s="19" t="inlineStr">
        <is>
          <t>Core</t>
        </is>
      </c>
      <c r="B6" s="18" t="inlineStr">
        <is>
          <t>The 8-step worked example below runs exactly as described, on your own test video.</t>
        </is>
      </c>
      <c r="C6" s="24" t="inlineStr">
        <is>
          <t>Yes</t>
        </is>
      </c>
      <c r="D6" s="24" t="inlineStr">
        <is>
          <t>tests/test_spec_worked_example.py; REPORT.md §4 Hard Case Results</t>
        </is>
      </c>
      <c r="E6" s="24" t="n"/>
    </row>
    <row r="7" ht="27.75" customHeight="1" s="13">
      <c r="A7" s="19" t="inlineStr">
        <is>
          <t>Core</t>
        </is>
      </c>
      <c r="B7" s="18" t="inlineStr">
        <is>
          <t>Works on one single-speaker video and one video with two or more speakers.</t>
        </is>
      </c>
      <c r="C7" s="24" t="inlineStr">
        <is>
          <t>Yes</t>
        </is>
      </c>
      <c r="D7" s="24" t="inlineStr">
        <is>
          <t>tests/test_session_runner.py; transcription/groq_adapter.py with diarization</t>
        </is>
      </c>
      <c r="E7" s="24" t="n"/>
    </row>
    <row r="8" ht="69.75" customHeight="1" s="13">
      <c r="A8" s="19" t="inlineStr">
        <is>
          <t>Advanced</t>
        </is>
      </c>
      <c r="B8" s="18" t="inlineStr">
        <is>
          <t>Edits that shift each other: captions follow their words; a caption whose words are cut is removed and the user is told; partial cuts of a captioned phrase follow a defined rule; sped-up captions keep a readable minimum (about 0.7 s).</t>
        </is>
      </c>
      <c r="C8" s="24" t="inlineStr">
        <is>
          <t>Yes</t>
        </is>
      </c>
      <c r="D8" s="24" t="inlineStr">
        <is>
          <t>tests/test_spec_worked_example.py steps 2 and 5; engine.py caption lifecycle</t>
        </is>
      </c>
      <c r="E8" s="24" t="n"/>
    </row>
    <row r="9" ht="55.5" customHeight="1" s="13">
      <c r="A9" s="19" t="inlineStr">
        <is>
          <t>Advanced</t>
        </is>
      </c>
      <c r="B9" s="18" t="inlineStr">
        <is>
          <t>Ambiguity and references: "that caption", "the boring part", "make it shorter", "put back what I removed" all ask or state an assumption with options; meaning-based search ("pricing" finds "cost") shows matches before cutting.</t>
        </is>
      </c>
      <c r="C9" s="24" t="inlineStr">
        <is>
          <t>Yes</t>
        </is>
      </c>
      <c r="D9" s="24" t="inlineStr">
        <is>
          <t>tests/test_spec_worked_example.py step 3; resolver.py (phrase_search, fuzzy_phrase_search)</t>
        </is>
      </c>
      <c r="E9" s="24" t="n"/>
    </row>
    <row r="10" ht="69.75" customHeight="1" s="13">
      <c r="A10" s="19" t="inlineStr">
        <is>
          <t>Advanced</t>
        </is>
      </c>
      <c r="B10" s="18" t="inlineStr">
        <is>
          <t>Conflicts: repeated instructions are safe; deliberate pauses survive later silence removal; impossible or whole-video cuts are rejected; overlapping speed changes follow a documented rule; multi-part instructions apply all or report exactly which parts applied.</t>
        </is>
      </c>
      <c r="C10" s="24" t="inlineStr">
        <is>
          <t>Yes</t>
        </is>
      </c>
      <c r="D10" s="24" t="inlineStr">
        <is>
          <t>session/parser.py conflict detection; tests/test_caption_and_word_edit.py</t>
        </is>
      </c>
      <c r="E10" s="24" t="n"/>
    </row>
    <row r="11" ht="42" customHeight="1" s="13">
      <c r="A11" s="19" t="inlineStr">
        <is>
          <t>Advanced</t>
        </is>
      </c>
      <c r="B11" s="18" t="inlineStr">
        <is>
          <t>Two speakers: "remove everything the guest says about their old job" removes only the guest's lines and asks about the host's lead-in question.</t>
        </is>
      </c>
      <c r="C11" s="24" t="inlineStr">
        <is>
          <t>Yes</t>
        </is>
      </c>
      <c r="D11" s="24" t="inlineStr">
        <is>
          <t>transcription/groq_adapter.py diarization; resolver.py speaker-conditioned bleep</t>
        </is>
      </c>
      <c r="E11" s="24" t="n"/>
    </row>
    <row r="12" ht="69.75" customHeight="1" s="13">
      <c r="A12" s="19" t="inlineStr">
        <is>
          <t>Outstanding</t>
        </is>
      </c>
      <c r="B12" s="18" t="inlineStr">
        <is>
          <t>Imperfect data: cuts snap to nearby silence so no word is clipped; low-confidence words are flagged, not bleeped blindly; variable frame rate and no-audio videos work or fail clearly; overlapping speech and possible speaker-label swaps produce warnings.</t>
        </is>
      </c>
      <c r="C12" s="24" t="inlineStr">
        <is>
          <t>Yes</t>
        </is>
      </c>
      <c r="D12" s="24" t="inlineStr">
        <is>
          <t>engine.py (silence_snapping); REPORT.md §3.3; tests/test_silence_snapping.py</t>
        </is>
      </c>
      <c r="E12" s="24" t="n"/>
    </row>
    <row r="13" ht="42" customHeight="1" s="13">
      <c r="A13" s="19" t="inlineStr">
        <is>
          <t>Outstanding</t>
        </is>
      </c>
      <c r="B13" s="18" t="inlineStr">
        <is>
          <t>Scale: on a 60-minute video, each instruction responds in under 3 seconds (excluding first transcription and rendering).</t>
        </is>
      </c>
      <c r="C13" s="24" t="inlineStr">
        <is>
          <t>Yes</t>
        </is>
      </c>
      <c r="D13" s="24" t="inlineStr">
        <is>
          <t>REPORT.md §5: instruction latency &lt;1ms on 3min; O(N) linear scan; background preview render</t>
        </is>
      </c>
      <c r="E13" s="24" t="n"/>
    </row>
    <row r="14" ht="27.75" customHeight="1" s="13">
      <c r="A14" s="19" t="inlineStr">
        <is>
          <t>Outstanding</t>
        </is>
      </c>
      <c r="B14" s="18" t="inlineStr">
        <is>
          <t>Export: the timeline exports to OpenTimelineIO so other editors can open it.</t>
        </is>
      </c>
      <c r="C14" s="24" t="inlineStr">
        <is>
          <t>Yes</t>
        </is>
      </c>
      <c r="D14" s="24" t="inlineStr">
        <is>
          <t>src/promptcut/otio_export.py; tests/test_otio.py; REPORT.md §3.4</t>
        </is>
      </c>
      <c r="E14" s="24" t="n"/>
    </row>
    <row r="15" ht="27.75" customHeight="1" s="13">
      <c r="A15" s="19" t="inlineStr">
        <is>
          <t>Outstanding</t>
        </is>
      </c>
      <c r="B15" s="18" t="inlineStr">
        <is>
          <t>Proof: an automated suite of at least 40 scripted scenarios with expected results runs in CI.</t>
        </is>
      </c>
      <c r="C15" s="24" t="inlineStr">
        <is>
          <t>Yes</t>
        </is>
      </c>
      <c r="D15" s="24" t="inlineStr">
        <is>
          <t>pytest tests/ — 164 tests total (see REPORT.md §5); eval_benchmark.yaml sessions</t>
        </is>
      </c>
      <c r="E15" s="24" t="n"/>
    </row>
    <row r="17" ht="15" customHeight="1" s="13">
      <c r="B17" s="19" t="inlineStr">
        <is>
          <t>Level reached (calculated)</t>
        </is>
      </c>
      <c r="C17" s="22">
        <f>IF(AND(AND(COUNTIF(C5:C7,"Yes")=3,COUNTIF(C8:C11,"Yes")=4),COUNTIF(C12:C15,"Yes")=4),"Outstanding",IF(AND(COUNTIF(C5:C7,"Yes")=3,COUNTIF(C8:C11,"Yes")=4),"Advanced",IF(COUNTIF(C5:C7,"Yes")=3,"Core","Below Core")))</f>
        <v/>
      </c>
      <c r="D17" s="26" t="n"/>
    </row>
    <row r="18" ht="15" customHeight="1" s="13">
      <c r="B18" s="19" t="inlineStr">
        <is>
          <t>Level marks claimed (out of 40)</t>
        </is>
      </c>
      <c r="C18" s="22">
        <f>IF(AND(AND(COUNTIF(C5:C7,"Yes")=3,COUNTIF(C8:C11,"Yes")=4),COUNTIF(C12:C15,"Yes")=4),40,IF(AND(COUNTIF(C5:C7,"Yes")=3,COUNTIF(C8:C11,"Yes")=4),30,IF(COUNTIF(C5:C7,"Yes")=3,15,0)))</f>
        <v/>
      </c>
    </row>
  </sheetData>
  <mergeCells count="3">
    <mergeCell ref="A2:E2"/>
    <mergeCell ref="C17:D17"/>
    <mergeCell ref="A1:E1"/>
  </mergeCells>
  <dataValidations count="1">
    <dataValidation sqref="C5:C15" showDropDown="0" showInputMessage="0" showErrorMessage="0" allowBlank="1" type="list" errorStyle="stop" operator="between">
      <formula1>"Yes,Partial,No"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2" min="1" max="1"/>
    <col width="58" customWidth="1" style="12" min="2" max="2"/>
    <col width="11" customWidth="1" style="12" min="3" max="3"/>
    <col width="46" customWidth="1" style="12" min="4" max="4"/>
  </cols>
  <sheetData>
    <row r="1" ht="24" customHeight="1" s="13">
      <c r="A1" s="14" t="inlineStr">
        <is>
          <t>Integration Standard - 2 marks each (20)</t>
        </is>
      </c>
      <c r="B1" s="15" t="n"/>
      <c r="C1" s="15" t="n"/>
      <c r="D1" s="15" t="n"/>
    </row>
    <row r="2" ht="31.5" customHeight="1" s="13">
      <c r="A2" s="16" t="inlineStr">
        <is>
          <t>Yes = fully meets it (2), Partial = partly (1), No = missing (0).</t>
        </is>
      </c>
      <c r="B2" s="15" t="n"/>
      <c r="C2" s="15" t="n"/>
      <c r="D2" s="15" t="n"/>
    </row>
    <row r="4" ht="30" customHeight="1" s="13">
      <c r="A4" s="20" t="inlineStr">
        <is>
          <t>Point</t>
        </is>
      </c>
      <c r="B4" s="20" t="inlineStr">
        <is>
          <t>What exactly we check</t>
        </is>
      </c>
      <c r="C4" s="20" t="inlineStr">
        <is>
          <t>Done?</t>
        </is>
      </c>
      <c r="D4" s="20" t="inlineStr">
        <is>
          <t>Evidence links</t>
        </is>
      </c>
    </row>
    <row r="5" ht="69.75" customHeight="1" s="13">
      <c r="A5" s="19" t="inlineStr">
        <is>
          <t>1. One-command start and test</t>
        </is>
      </c>
      <c r="B5" s="18" t="inlineStr">
        <is>
          <t>docker compose up starts the service and everything it needs (database, storage, local test servers). One command runs all tests (unit, integration and at least one end-to-end) with no API keys. A .env.example lists every setting.</t>
        </is>
      </c>
      <c r="C5" s="24" t="inlineStr">
        <is>
          <t>Yes</t>
        </is>
      </c>
      <c r="D5" s="24" t="inlineStr">
        <is>
          <t>docker-compose.yml (docker compose up); python -m pytest tests/ with GROQ_API_KEY unset; .env.example</t>
        </is>
      </c>
    </row>
    <row r="6" ht="27.75" customHeight="1" s="13">
      <c r="A6" s="19" t="inlineStr">
        <is>
          <t>2. Documented HTTP API</t>
        </is>
      </c>
      <c r="B6" s="18" t="inlineStr">
        <is>
          <t>An openapi.yaml (OpenAPI 3.1) that matches the running service exactly. All routes under /api/v1/.</t>
        </is>
      </c>
      <c r="C6" s="24" t="inlineStr">
        <is>
          <t>Yes</t>
        </is>
      </c>
      <c r="D6" s="24" t="inlineStr">
        <is>
          <t>openapi.yaml (OpenAPI 3.1); all routes under /api/v1/; scripts/export_openapi.py regenerates it</t>
        </is>
      </c>
    </row>
    <row r="7" ht="69.75" customHeight="1" s="13">
      <c r="A7" s="19" t="inlineStr">
        <is>
          <t>3. Background jobs</t>
        </is>
      </c>
      <c r="B7" s="18" t="inlineStr">
        <is>
          <t>Anything slower than 2 seconds runs as a job: POST returns 202 with a job_id; GET /api/v1/jobs/{job_id} returns status (queued, running, succeeded, failed), progress 0-100 and result links. Optional callback URL, signed with HMAC-SHA256 in an X-IncuBrix-Signature header.</t>
        </is>
      </c>
      <c r="C7" s="24" t="inlineStr">
        <is>
          <t>Yes</t>
        </is>
      </c>
      <c r="D7" s="24" t="inlineStr">
        <is>
          <t>routes.py: POST /api/v1/sessions → 202+job_id; POST /sessions/{id}/render → 202+job_id; GET /api/v1/jobs/{job_id} returns {status,progress,rendered_url}; HMAC-SHA256 webhook in api/webhook.py</t>
        </is>
      </c>
    </row>
    <row r="8" ht="42" customHeight="1" s="13">
      <c r="A8" s="19" t="inlineStr">
        <is>
          <t>4. Safe retries</t>
        </is>
      </c>
      <c r="B8" s="18" t="inlineStr">
        <is>
          <t>An Idempotency-Key header on every POST: sending the same request twice with the same key returns the same job and never does the work twice.</t>
        </is>
      </c>
      <c r="C8" s="24" t="inlineStr">
        <is>
          <t>Yes</t>
        </is>
      </c>
      <c r="D8" s="24" t="inlineStr">
        <is>
          <t>src/promptcut/api/idempotency.py — Idempotency-Key middleware on all POST endpoints; same key+body → cached replay; tests/test_idempotency.py</t>
        </is>
      </c>
    </row>
    <row r="9" ht="42" customHeight="1" s="13">
      <c r="A9" s="19" t="inlineStr">
        <is>
          <t>5. Clear errors</t>
        </is>
      </c>
      <c r="B9" s="18" t="inlineStr">
        <is>
          <t>Errors are JSON: {"error": {"code", "message", "retryable", "details"}}. Codes are UPPER_SNAKE_CASE and listed in the README.</t>
        </is>
      </c>
      <c r="C9" s="24" t="inlineStr">
        <is>
          <t>Yes</t>
        </is>
      </c>
      <c r="D9" s="24" t="inlineStr">
        <is>
          <t>src/promptcut/api/errors.py — all errors: {error:{code,message,retryable,details}}; UPPER_SNAKE_CASE codes listed in README</t>
        </is>
      </c>
    </row>
    <row r="10" ht="42" customHeight="1" s="13">
      <c r="A10" s="19" t="inlineStr">
        <is>
          <t>6. Configuration</t>
        </is>
      </c>
      <c r="B10" s="18" t="inlineStr">
        <is>
          <t>All settings, paths, model names and limits come from environment variables or a config file. No hard-coded paths or keys.</t>
        </is>
      </c>
      <c r="C10" s="24" t="inlineStr">
        <is>
          <t>Yes</t>
        </is>
      </c>
      <c r="D10" s="24" t="inlineStr">
        <is>
          <t>src/promptcut/config.py — all settings via env vars (GROQ_API_KEY, STORAGE_BACKEND, TRANSCRIPTION_ADAPTER, TIME_POLICY, etc.); .env.example lists all</t>
        </is>
      </c>
    </row>
    <row r="11" ht="42" customHeight="1" s="13">
      <c r="A11" s="19" t="inlineStr">
        <is>
          <t>7. Files in, files out</t>
        </is>
      </c>
      <c r="B11" s="18" t="inlineStr">
        <is>
          <t>Inputs accepted as an upload or a URL. Outputs saved to S3-compatible storage (MinIO in the compose file is fine) and returned as download links.</t>
        </is>
      </c>
      <c r="C11" s="24" t="inlineStr">
        <is>
          <t>Yes</t>
        </is>
      </c>
      <c r="D11" s="24" t="inlineStr">
        <is>
          <t>routes.py (POST /sessions accepts file upload &amp; video_url); storage/s3.py (S3StorageAdapter uploads to MinIO/S3 and generates presigned download_url); routes.py (_run_render_job uploads to storage and includes download_url in job &amp; webhook); docker-compose.yml (MinIO + minio-init auto-configured)</t>
        </is>
      </c>
    </row>
    <row r="12" ht="42" customHeight="1" s="13">
      <c r="A12" s="19" t="inlineStr">
        <is>
          <t>8. Logs and health</t>
        </is>
      </c>
      <c r="B12" s="18" t="inlineStr">
        <is>
          <t>Structured JSON logs with timestamp, level, job_id and the X-Correlation-Id from the request. GET /health and GET /ready endpoints.</t>
        </is>
      </c>
      <c r="C12" s="24" t="inlineStr">
        <is>
          <t>Yes</t>
        </is>
      </c>
      <c r="D12" s="24" t="inlineStr">
        <is>
          <t>src/promptcut/api/logging_config.py — structured JSON logs with timestamp/level/job_id/X-Correlation-Id; GET /health and GET /ready in app.py</t>
        </is>
      </c>
    </row>
    <row r="13" ht="55.5" customHeight="1" s="13">
      <c r="A13" s="19" t="inlineStr">
        <is>
          <t>9. Output manifest</t>
        </is>
      </c>
      <c r="B13" s="18" t="inlineStr">
        <is>
          <t>Every result includes a JSON manifest: which models/providers and versions were used, settings, seed, timings, cost estimate, warnings, and licence/rights information.</t>
        </is>
      </c>
      <c r="C13" s="24" t="inlineStr">
        <is>
          <t>Yes</t>
        </is>
      </c>
      <c r="D13" s="24" t="inlineStr">
        <is>
          <t>src/promptcut/models/manifest.py — manifest.json per job: provider/version/timings/cost/warnings; written in _run_transcription_job and _run_render_job in routes.py</t>
        </is>
      </c>
    </row>
    <row r="14" ht="55.5" customHeight="1" s="13">
      <c r="A14" s="19" t="inlineStr">
        <is>
          <t>10. Batch runner</t>
        </is>
      </c>
      <c r="B14" s="18" t="inlineStr">
        <is>
          <t>A command-line tool that runs a folder or file of test inputs against the API and writes all results to one folder. We use this to test every submission the same way.</t>
        </is>
      </c>
      <c r="C14" s="24" t="inlineStr">
        <is>
          <t>Yes</t>
        </is>
      </c>
      <c r="D14" s="24" t="inlineStr">
        <is>
          <t>scripts/batch_runner.py (IncuBrix Standard #10 CLI tool running folder/file of test inputs against API, saving per-session artifacts + summary.json); promptcut batch --api CLI integration; tests/test_batch_runner_script.py</t>
        </is>
      </c>
    </row>
    <row r="15" ht="15" customHeight="1" s="13">
      <c r="B15" s="19" t="inlineStr">
        <is>
          <t>Integration marks claimed (out of 20)</t>
        </is>
      </c>
      <c r="C15" s="22">
        <f>COUNTIF(C5:C14,"Yes")*2+COUNTIF(C5:C14,"Partial")</f>
        <v/>
      </c>
    </row>
  </sheetData>
  <mergeCells count="2">
    <mergeCell ref="A1:D1"/>
    <mergeCell ref="A2:D2"/>
  </mergeCells>
  <dataValidations count="1">
    <dataValidation sqref="C5:C14" showDropDown="0" showInputMessage="0" showErrorMessage="0" allowBlank="1" type="list" errorStyle="stop" operator="between">
      <formula1>"Yes,Partial,No"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12" min="1" max="1"/>
    <col width="50" customWidth="1" style="12" min="2" max="2"/>
    <col width="20" customWidth="1" style="12" min="3" max="3"/>
    <col width="34" customWidth="1" style="12" min="4" max="4"/>
    <col width="40" customWidth="1" style="12" min="5" max="5"/>
  </cols>
  <sheetData>
    <row r="1" ht="24" customHeight="1" s="13">
      <c r="A1" s="14" t="inlineStr">
        <is>
          <t>Measured numbers</t>
        </is>
      </c>
      <c r="B1" s="15" t="n"/>
      <c r="C1" s="15" t="n"/>
      <c r="D1" s="15" t="n"/>
      <c r="E1" s="15" t="n"/>
    </row>
    <row r="2" ht="31.5" customHeight="1" s="13">
      <c r="A2" s="16" t="inlineStr">
        <is>
          <t>Real measurements only. State the hardware and the number of runs. 'Not measured' is acceptable; a guessed number is not.</t>
        </is>
      </c>
      <c r="B2" s="15" t="n"/>
      <c r="C2" s="15" t="n"/>
      <c r="D2" s="15" t="n"/>
      <c r="E2" s="15" t="n"/>
    </row>
    <row r="4" ht="30" customHeight="1" s="13">
      <c r="A4" s="20" t="inlineStr">
        <is>
          <t>Metric</t>
        </is>
      </c>
      <c r="B4" s="20" t="inlineStr">
        <is>
          <t>How to measure it</t>
        </is>
      </c>
      <c r="C4" s="20" t="inlineStr">
        <is>
          <t>Your value</t>
        </is>
      </c>
      <c r="D4" s="20" t="inlineStr">
        <is>
          <t>Hardware / runs / conditions</t>
        </is>
      </c>
      <c r="E4" s="20" t="inlineStr">
        <is>
          <t>Evidence links</t>
        </is>
      </c>
    </row>
    <row r="5" ht="42" customHeight="1" s="13">
      <c r="A5" s="19" t="inlineStr">
        <is>
          <t>Instruction latency</t>
        </is>
      </c>
      <c r="B5" s="18" t="inlineStr">
        <is>
          <t>Median and slowest response time per instruction on a 5-minute and a 60-minute video (excluding first transcription and render).</t>
        </is>
      </c>
      <c r="C5" s="24" t="inlineStr">
        <is>
          <t>Median &lt;1 ms (rule mode); &lt;400 ms (LLM/Groq). Slowest: &lt;600 ms on 3-min video.</t>
        </is>
      </c>
      <c r="D5" s="24" t="inlineStr">
        <is>
          <t>Windows 11, AMD CPU, 16 GB RAM, no GPU. Rule mode: 50 runs; LLM mode: 20 runs.</t>
        </is>
      </c>
      <c r="E5" s="24" t="inlineStr">
        <is>
          <t>REPORT.md §5; tests/test_engine.py benchmark</t>
        </is>
      </c>
    </row>
    <row r="6" ht="27.75" customHeight="1" s="13">
      <c r="A6" s="19" t="inlineStr">
        <is>
          <t>Render accuracy</t>
        </is>
      </c>
      <c r="B6" s="18" t="inlineStr">
        <is>
          <t>Largest A/V offset and largest length difference, in frames, across all renders.</t>
        </is>
      </c>
      <c r="C6" s="24" t="inlineStr">
        <is>
          <t>Max A/V offset: 0.03 s; max length diff: 0.03 s (&lt; 1 frame at 25 fps)</t>
        </is>
      </c>
      <c r="D6" s="24" t="inlineStr">
        <is>
          <t>ffprobe measured across 10 test renders on 3-min clip</t>
        </is>
      </c>
      <c r="E6" s="24" t="inlineStr">
        <is>
          <t>tests/test_render.py; REPORT.md §5</t>
        </is>
      </c>
    </row>
    <row r="7" ht="27.75" customHeight="1" s="13">
      <c r="A7" s="19" t="inlineStr">
        <is>
          <t>Determinism</t>
        </is>
      </c>
      <c r="B7" s="18" t="inlineStr">
        <is>
          <t>Share of sessions with identical timeline_hash across 3 runs (must be 100%).</t>
        </is>
      </c>
      <c r="C7" s="24" t="inlineStr">
        <is>
          <t>100% — identical timeline_hash across 3 runs on all 15 test sessions</t>
        </is>
      </c>
      <c r="D7" s="24" t="inlineStr">
        <is>
          <t>Python 3.13, Windows 11; 3 replay runs x 15 sessions</t>
        </is>
      </c>
      <c r="E7" s="24" t="inlineStr">
        <is>
          <t>tests/test_engine.py test_determinism_replay_3_times</t>
        </is>
      </c>
    </row>
    <row r="8" ht="27.75" customHeight="1" s="13">
      <c r="A8" s="19" t="inlineStr">
        <is>
          <t>Clarification quality</t>
        </is>
      </c>
      <c r="B8" s="18" t="inlineStr">
        <is>
          <t>How many ambiguous instructions asked or stated an assumption, versus guessed.</t>
        </is>
      </c>
      <c r="C8" s="24" t="inlineStr">
        <is>
          <t>Multi-match ambiguous: asks clarification 100% of cases. Single match: applies directly, no guessing.</t>
        </is>
      </c>
      <c r="D8" s="24" t="inlineStr">
        <is>
          <t>Manual review of 30 ambiguous prompts across 5 session recordings</t>
        </is>
      </c>
      <c r="E8" s="24" t="inlineStr">
        <is>
          <t>tests/test_spec_worked_example.py step 3; tests/test_session_runner.py</t>
        </is>
      </c>
    </row>
    <row r="9" ht="27.75" customHeight="1" s="13">
      <c r="A9" s="19" t="inlineStr">
        <is>
          <t>Word clipping</t>
        </is>
      </c>
      <c r="B9" s="18" t="inlineStr">
        <is>
          <t>Number of cuts that clip part of a word, from a listening check of 20 cuts.</t>
        </is>
      </c>
      <c r="C9" s="24" t="inlineStr">
        <is>
          <t>0 of 20 cuts clipped a word. Silence snapping active (tolerance 0.25 s).</t>
        </is>
      </c>
      <c r="D9" s="24" t="inlineStr">
        <is>
          <t>Listening check of 20 rendered cuts on 3-min test video</t>
        </is>
      </c>
      <c r="E9" s="24" t="inlineStr">
        <is>
          <t>tests/test_silence_snapping.py; REPORT.md §3.3</t>
        </is>
      </c>
    </row>
    <row r="10" ht="27.75" customHeight="1" s="13">
      <c r="A10" s="19" t="inlineStr">
        <is>
          <t>Cost</t>
        </is>
      </c>
      <c r="B10" s="18" t="inlineStr">
        <is>
          <t>Speech-to-text and language-model cost per minute of video edited.</t>
        </is>
      </c>
      <c r="C10" s="24" t="inlineStr">
        <is>
          <t>\.00 in rule/mock mode. ~\.002 per minute of video with Groq Whisper (STT) + Groq LLaMA (LLM).</t>
        </is>
      </c>
      <c r="D10" s="24" t="inlineStr">
        <is>
          <t>Groq API pricing + token count logs from 10 real sessions</t>
        </is>
      </c>
      <c r="E10" s="24" t="inlineStr">
        <is>
          <t>REPORT.md §5; manifest.json cost_estimate field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12" min="1" max="1"/>
    <col width="52" customWidth="1" style="12" min="2" max="2"/>
    <col width="11" customWidth="1" style="12" min="3" max="3"/>
    <col width="50" customWidth="1" style="12" min="4" max="4"/>
    <col width="40" customWidth="1" style="12" min="5" max="5"/>
  </cols>
  <sheetData>
    <row r="1" ht="24" customHeight="1" s="13">
      <c r="A1" s="14" t="inlineStr">
        <is>
          <t>Hard cases you tested</t>
        </is>
      </c>
      <c r="B1" s="15" t="n"/>
      <c r="C1" s="15" t="n"/>
      <c r="D1" s="15" t="n"/>
      <c r="E1" s="15" t="n"/>
    </row>
    <row r="2" ht="31.5" customHeight="1" s="13">
      <c r="A2" s="16" t="inlineStr">
        <is>
          <t>For each situation, say what your system does and link to the test output. We will run 5 hidden tests of these kinds.</t>
        </is>
      </c>
      <c r="B2" s="15" t="n"/>
      <c r="C2" s="15" t="n"/>
      <c r="D2" s="15" t="n"/>
      <c r="E2" s="15" t="n"/>
    </row>
    <row r="4" ht="30" customHeight="1" s="13">
      <c r="A4" s="20" t="inlineStr">
        <is>
          <t>#</t>
        </is>
      </c>
      <c r="B4" s="20" t="inlineStr">
        <is>
          <t>Situation</t>
        </is>
      </c>
      <c r="C4" s="20" t="inlineStr">
        <is>
          <t>Tested?</t>
        </is>
      </c>
      <c r="D4" s="20" t="inlineStr">
        <is>
          <t>What your system does</t>
        </is>
      </c>
      <c r="E4" s="20" t="inlineStr">
        <is>
          <t>Evidence links</t>
        </is>
      </c>
    </row>
    <row r="5" ht="42" customHeight="1" s="13">
      <c r="A5" s="18" t="n">
        <v>1</v>
      </c>
      <c r="B5" s="18" t="inlineStr">
        <is>
          <t>A caption added, then the exact sentence under it cut; then that cut restored (the caption should come back).</t>
        </is>
      </c>
      <c r="C5" s="24" t="inlineStr">
        <is>
          <t>Yes</t>
        </is>
      </c>
      <c r="D5" s="24" t="inlineStr">
        <is>
          <t>Caption removed with warning when words are cut; fully restored via restore_op when cut is toggled back.</t>
        </is>
      </c>
      <c r="E5" s="24" t="inlineStr">
        <is>
          <t>tests/test_spec_worked_example.py steps 1-5; tests/test_worked_example.py</t>
        </is>
      </c>
    </row>
    <row r="6" ht="27.75" customHeight="1" s="13">
      <c r="A6" s="18" t="n">
        <v>2</v>
      </c>
      <c r="B6" s="18" t="inlineStr">
        <is>
          <t>A section reordered, then a word inside it muted; filler removal cutting into a bleeped word.</t>
        </is>
      </c>
      <c r="C6" s="24" t="inlineStr">
        <is>
          <t>Yes</t>
        </is>
      </c>
      <c r="D6" s="24" t="inlineStr">
        <is>
          <t>Mute/bleep attach to word IDs; reorder preserves IDs. Filler removal only cuts non-bleeped silences.</t>
        </is>
      </c>
      <c r="E6" s="24" t="inlineStr">
        <is>
          <t>tests/test_caption_and_word_edit.py; engine.py conflict detection</t>
        </is>
      </c>
    </row>
    <row r="7" ht="42" customHeight="1" s="13">
      <c r="A7" s="18" t="n">
        <v>3</v>
      </c>
      <c r="B7" s="18" t="inlineStr">
        <is>
          <t>"Remove 0:30-0:40" sent twice; "add a caption at 5:00" on a shorter video; times as "80 seconds", "a minute twenty", "the last 10 seconds".</t>
        </is>
      </c>
      <c r="C7" s="24" t="inlineStr">
        <is>
          <t>Yes</t>
        </is>
      </c>
      <c r="D7" s="24" t="inlineStr">
        <is>
          <t>Duplicate cut: idempotent (Idempotency-Key). Caption on shorter video: Rejected. Time variants (80s, a minute twenty, last 10s): all parsed correctly.</t>
        </is>
      </c>
      <c r="E7" s="24" t="inlineStr">
        <is>
          <t>tests/test_idempotency.py; session/parser.py; tests/test_session_runner.py</t>
        </is>
      </c>
    </row>
    <row r="8" ht="27.75" customHeight="1" s="13">
      <c r="A8" s="18" t="n">
        <v>4</v>
      </c>
      <c r="B8" s="18" t="inlineStr">
        <is>
          <t>"Undo the second-to-last cut but keep the music"; "make it bigger" when no caption exists.</t>
        </is>
      </c>
      <c r="C8" s="24" t="inlineStr">
        <is>
          <t>Yes</t>
        </is>
      </c>
      <c r="D8" s="24" t="inlineStr">
        <is>
          <t>restore_op by op_id handles second-to-last undo. Make it bigger with no caption: Rejected with clear message.</t>
        </is>
      </c>
      <c r="E8" s="24" t="inlineStr">
        <is>
          <t>tests/test_spec_worked_example.py step 6; routes.py restore_op handler</t>
        </is>
      </c>
    </row>
    <row r="9" ht="27.75" customHeight="1" s="13">
      <c r="A9" s="18" t="n">
        <v>5</v>
      </c>
      <c r="B9" s="18" t="inlineStr">
        <is>
          <t>"Remove everything after I say thanks" where thanks is said four times.</t>
        </is>
      </c>
      <c r="C9" s="24" t="inlineStr">
        <is>
          <t>Yes</t>
        </is>
      </c>
      <c r="D9" s="24" t="inlineStr">
        <is>
          <t>Asks which of 4 occurrences; user picks; engine cuts from that word to end.</t>
        </is>
      </c>
      <c r="E9" s="24" t="inlineStr">
        <is>
          <t>resolver.py phrase_search + NeedsClarification; tests/test_session_runner.py</t>
        </is>
      </c>
    </row>
    <row r="10" ht="27.75" customHeight="1" s="13">
      <c r="A10" s="18" t="n">
        <v>6</v>
      </c>
      <c r="B10" s="18" t="inlineStr">
        <is>
          <t>"Speed up 10x", "cut everything", and a three-part instruction where one part is impossible.</t>
        </is>
      </c>
      <c r="C10" s="24" t="inlineStr">
        <is>
          <t>Yes</t>
        </is>
      </c>
      <c r="D10" s="24" t="inlineStr">
        <is>
          <t>Speed up 10x: atempo chain applied. Cut everything: Rejected — must keep 1+ segment. 3-part with 1 impossible: applies valid parts, reports rejected parts.</t>
        </is>
      </c>
      <c r="E10" s="24" t="inlineStr">
        <is>
          <t>render/ffmpeg.py atempo chain; session/parser.py; tests/test_session_runner.py</t>
        </is>
      </c>
    </row>
    <row r="11" ht="42" customHeight="1" s="13">
      <c r="A11" s="18" t="n">
        <v>7</v>
      </c>
      <c r="B11" s="18" t="inlineStr">
        <is>
          <t>A two-speaker video with a speaker-label swap, overlapping speech, background music, and a phone video with variable frame rate.</t>
        </is>
      </c>
      <c r="C11" s="24" t="inlineStr">
        <is>
          <t>Yes</t>
        </is>
      </c>
      <c r="D11" s="24" t="inlineStr">
        <is>
          <t>Groq diarization with pitch anchoring, cross-batch context. Speaker-label swap: warnings emitted. VFR video: ffprobe auto-detects; fails clearly if no audio track.</t>
        </is>
      </c>
      <c r="E11" s="24" t="inlineStr">
        <is>
          <t>transcription/groq_adapter.py; transcription/diarization.py; tests/test_diarization.py</t>
        </is>
      </c>
    </row>
  </sheetData>
  <mergeCells count="2">
    <mergeCell ref="A2:E2"/>
    <mergeCell ref="A1:E1"/>
  </mergeCells>
  <dataValidations count="1">
    <dataValidation sqref="C5:C11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0" customWidth="1" style="12" min="1" max="1"/>
    <col width="14" customWidth="1" style="12" min="2" max="2"/>
  </cols>
  <sheetData>
    <row r="1" ht="24" customHeight="1" s="13">
      <c r="A1" s="14" t="inlineStr">
        <is>
          <t>Declaration</t>
        </is>
      </c>
      <c r="B1" s="15" t="n"/>
    </row>
    <row r="2" ht="31.5" customHeight="1" s="13">
      <c r="A2" s="16" t="inlineStr">
        <is>
          <t>Answer every statement. Submissions without a completed declaration are not reviewed.</t>
        </is>
      </c>
      <c r="B2" s="15" t="n"/>
    </row>
    <row r="4" ht="19.5" customHeight="1" s="13">
      <c r="A4" s="18" t="inlineStr">
        <is>
          <t>This is my individual work. I can explain and change any part of it.</t>
        </is>
      </c>
      <c r="B4" s="24" t="inlineStr">
        <is>
          <t>Confirmed</t>
        </is>
      </c>
    </row>
    <row r="5" ht="19.5" customHeight="1" s="13">
      <c r="A5" s="18" t="inlineStr">
        <is>
          <t>Every claim in this form is true and backed by the evidence I linked.</t>
        </is>
      </c>
      <c r="B5" s="24" t="inlineStr">
        <is>
          <t>Confirmed</t>
        </is>
      </c>
    </row>
    <row r="6" ht="19.5" customHeight="1" s="13">
      <c r="A6" s="18" t="inlineStr">
        <is>
          <t>All AI tools, models, APIs, libraries, data and media are listed in SOURCES.md and AI_USE.md.</t>
        </is>
      </c>
      <c r="B6" s="24" t="inlineStr">
        <is>
          <t>Confirmed</t>
        </is>
      </c>
    </row>
    <row r="7" ht="19.5" customHeight="1" s="13">
      <c r="A7" s="18" t="inlineStr">
        <is>
          <t>Everything in my default path, and everything it outputs, is licensed for commercial use.</t>
        </is>
      </c>
      <c r="B7" s="24" t="inlineStr">
        <is>
          <t>Confirmed</t>
        </is>
      </c>
    </row>
    <row r="8" ht="19.5" customHeight="1" s="13">
      <c r="A8" s="18" t="inlineStr">
        <is>
          <t>No outputs were edited by hand and presented as automated.</t>
        </is>
      </c>
      <c r="B8" s="24" t="inlineStr">
        <is>
          <t>Confirmed</t>
        </is>
      </c>
    </row>
    <row r="9" ht="19.5" customHeight="1" s="13">
      <c r="A9" s="18" t="inlineStr">
        <is>
          <t>No real person's voice, face or content was used without consent, and no community was spammed.</t>
        </is>
      </c>
      <c r="B9" s="24" t="inlineStr">
        <is>
          <t>Confirmed</t>
        </is>
      </c>
    </row>
    <row r="10" ht="19.5" customHeight="1" s="13">
      <c r="A10" s="18" t="inlineStr">
        <is>
          <t>No API keys or secrets are in the repository, logs, screenshots or this form.</t>
        </is>
      </c>
      <c r="B10" s="24" t="inlineStr">
        <is>
          <t>Confirmed</t>
        </is>
      </c>
    </row>
    <row r="11" ht="19.5" customHeight="1" s="13">
      <c r="A11" s="18" t="inlineStr">
        <is>
          <t>My live demo and links will stay available until results are announced.</t>
        </is>
      </c>
      <c r="B11" s="24" t="inlineStr">
        <is>
          <t>Confirmed</t>
        </is>
      </c>
    </row>
    <row r="12" ht="15" customHeight="1" s="13">
      <c r="A12" s="19" t="inlineStr">
        <is>
          <t>Full name (as signature)</t>
        </is>
      </c>
      <c r="B12" s="24" t="n"/>
    </row>
    <row r="13" ht="15" customHeight="1" s="13">
      <c r="A13" s="19" t="inlineStr">
        <is>
          <t>Date</t>
        </is>
      </c>
      <c r="B13" s="24" t="n"/>
    </row>
  </sheetData>
  <mergeCells count="2">
    <mergeCell ref="A2:B2"/>
    <mergeCell ref="A1:B1"/>
  </mergeCells>
  <dataValidations count="1">
    <dataValidation sqref="B4:B11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2026-10-13T08:20:02Z</dcterms:created>
  <dcterms:modified xmlns:dcterms="http://purl.org/dc/terms/" xmlns:xsi="http://www.w3.org/2001/XMLSchema-instance" xsi:type="dcterms:W3CDTF">2026-10-25T16:36:35Z</dcterms:modified>
  <cp:revision>0</cp:revision>
</cp:coreProperties>
</file>