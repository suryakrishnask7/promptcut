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Start_Here" sheetId="1" state="visible" r:id="rId3"/>
    <sheet name="1_Your_Details" sheetId="2" state="visible" r:id="rId4"/>
    <sheet name="2_Must_haves" sheetId="3" state="visible" r:id="rId5"/>
    <sheet name="3_Levels" sheetId="4" state="visible" r:id="rId6"/>
    <sheet name="4_Integration" sheetId="5" state="visible" r:id="rId7"/>
    <sheet name="5_Metrics" sheetId="6" state="visible" r:id="rId8"/>
    <sheet name="6_Hard_cases" sheetId="7" state="visible" r:id="rId9"/>
    <sheet name="7_Declar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<sst xmlns="http://schemas.openxmlformats.org/spreadsheetml/2006/main" count="158" uniqueCount="145">
  <si>
    <t xml:space="preserve">IncuBrix Engineering Assessment 2 | Prompt-Based Video Editing Engine | Submission Form</t>
  </si>
  <si>
    <t xml:space="preserve">This form is how you show us what you built. Fill it as you work. We verify every claim, so be precise.</t>
  </si>
  <si>
    <t xml:space="preserve">Read the assessment brief (PDF) first.</t>
  </si>
  <si>
    <t xml:space="preserve">1_Your_Details: your contact details and all links.</t>
  </si>
  <si>
    <t xml:space="preserve">2_Must_haves: mark each must-have Yes or No with evidence. Every one must pass to be selected.</t>
  </si>
  <si>
    <t xml:space="preserve">3_Levels: mark each item Yes / Partial / No with evidence. The level you reached is calculated for you.</t>
  </si>
  <si>
    <t xml:space="preserve">4_Integration: mark each Integration Standard point with evidence.</t>
  </si>
  <si>
    <t xml:space="preserve">5_Metrics: enter your measured numbers.  6_Hard_cases: say how your system handles each situation.</t>
  </si>
  <si>
    <t xml:space="preserve">7_Declaration: answer every statement and sign.</t>
  </si>
  <si>
    <t xml:space="preserve">Save as Assessment2_YourName.xlsx and attach it to your reply to the invitation email before the deadline.</t>
  </si>
  <si>
    <t xml:space="preserve">Colour key: YELLOW = you fill in.  GREEN = calculated automatically.  GREY = instructions or example.</t>
  </si>
  <si>
    <t xml:space="preserve">Your self-check (updates as you fill the form)</t>
  </si>
  <si>
    <t xml:space="preserve">Must-haves marked Yes</t>
  </si>
  <si>
    <t xml:space="preserve">Level reached</t>
  </si>
  <si>
    <t xml:space="preserve">Level marks claimed (40)</t>
  </si>
  <si>
    <t xml:space="preserve">Integration marks claimed (20)</t>
  </si>
  <si>
    <t xml:space="preserve">Self-assessed marks before our checks (60)</t>
  </si>
  <si>
    <t xml:space="preserve">We then verify your claims and add up to 20 marks for 5 hidden tests (screening total 80). Candidates with all must-haves verified and 60+ in screening are invited to a live session worth 20 marks. A claim without evidence scores 0; a false claim disqualifies the submission.</t>
  </si>
  <si>
    <t xml:space="preserve">IncuBrix Assessment 2 | Submission Form | Prompt-Based Video Editing Engine</t>
  </si>
  <si>
    <t xml:space="preserve">Fill every YELLOW cell. Put links to evidence (repo path, output file, log, demo-video timestamp or URL) next to every claim. Save as Assessment2_&lt;YourName&gt;.xlsx and attach it to your reply email.</t>
  </si>
  <si>
    <t xml:space="preserve">Full name</t>
  </si>
  <si>
    <t xml:space="preserve">Email</t>
  </si>
  <si>
    <t xml:space="preserve">Phone</t>
  </si>
  <si>
    <t xml:space="preserve">College and degree</t>
  </si>
  <si>
    <t xml:space="preserve">Graduation year</t>
  </si>
  <si>
    <t xml:space="preserve">Live demo URL</t>
  </si>
  <si>
    <t xml:space="preserve">Live demo access token or login (if protected)</t>
  </si>
  <si>
    <t xml:space="preserve">Cold-start wait time (if any)</t>
  </si>
  <si>
    <t xml:space="preserve">Repository URL (private, reviewer invited)</t>
  </si>
  <si>
    <t xml:space="preserve">Demo video URL (max 8 min, unedited)</t>
  </si>
  <si>
    <t xml:space="preserve">REPORT.md link</t>
  </si>
  <si>
    <t xml:space="preserve">Compute used (laptop / cloud / GPU, with specs)</t>
  </si>
  <si>
    <t xml:space="preserve">Paid services used and total cost</t>
  </si>
  <si>
    <t xml:space="preserve">AI coding tools used (details in AI_USE.md)</t>
  </si>
  <si>
    <t xml:space="preserve">Approximate hours spent</t>
  </si>
  <si>
    <t xml:space="preserve">Must-haves - every one must pass</t>
  </si>
  <si>
    <t xml:space="preserve">Mark Met = Yes only if it fully works. Give links that let us check it in minutes.</t>
  </si>
  <si>
    <t xml:space="preserve">#</t>
  </si>
  <si>
    <t xml:space="preserve">Must-have</t>
  </si>
  <si>
    <t xml:space="preserve">Met?</t>
  </si>
  <si>
    <t xml:space="preserve">Evidence links (files, logs, tests, video timestamp)</t>
  </si>
  <si>
    <t xml:space="preserve">Notes / limits</t>
  </si>
  <si>
    <t xml:space="preserve">Ex.</t>
  </si>
  <si>
    <t xml:space="preserve">Example row - shows the expected format (do not edit)</t>
  </si>
  <si>
    <t xml:space="preserve">Yes</t>
  </si>
  <si>
    <t xml:space="preserve">repo/tests/test_length.py ; outputs/run_07/manifest.json ; demo video 02:15</t>
  </si>
  <si>
    <t xml:space="preserve">Fails above 290 s - see REPORT.md section 4</t>
  </si>
  <si>
    <t xml:space="preserve">Never damage the original. Every edit is a step in a history applied on top of the untouched original; rendering is separate.
We verify: We check the source file hash and the history after a session.</t>
  </si>
  <si>
    <t xml:space="preserve">Edits stick to content. Captions, mutes, bleeps and effects stay on their words after cuts, speed changes, reorders and restores.
We verify: Scripted sessions; we inspect timelines and rendered frames.</t>
  </si>
  <si>
    <t xml:space="preserve">Three-way answers. Every instruction returns Applied, Needs clarification or Rejected, in the formats above.
We verify: Every step of every session.</t>
  </si>
  <si>
    <t xml:space="preserve">Predictable. The same session always produces the same timeline. An AI model may only translate words into structured operations; all timeline logic is ordinary code you wrote.
We verify: We run each session 3 times and compare timeline_hash; we read the code.</t>
  </si>
  <si>
    <t xml:space="preserve">Render matches the timeline. Audio and video in sync within 1 frame, and rendered length equals timeline length within 1 frame, after any mix of edits.
We verify: Frame-accurate measurement on rendered outputs.</t>
  </si>
  <si>
    <t xml:space="preserve">All operations above work, including undo/redo (one instruction = one undo; a new edit clears redo) and restoring a specific earlier edit.
We verify: Scripted sessions.</t>
  </si>
  <si>
    <t xml:space="preserve">A clear time policy. When a user says "at 1:20" after earlier cuts, your system uses one stated policy (original time or current time), everywhere, and says which one in its answer.
We verify: Scripted sessions.</t>
  </si>
  <si>
    <t xml:space="preserve">Integration Standard followed, the session runner works, and the live demo works for the whole review period.
We verify: See the Integration Standard section.</t>
  </si>
  <si>
    <t xml:space="preserve">Levels you reached</t>
  </si>
  <si>
    <t xml:space="preserve">A level counts only if every item in it is Yes, and only if the level before it counts. Core 15 marks, Advanced 15, Outstanding 10.</t>
  </si>
  <si>
    <t xml:space="preserve">Level</t>
  </si>
  <si>
    <t xml:space="preserve">Item</t>
  </si>
  <si>
    <t xml:space="preserve">Done?</t>
  </si>
  <si>
    <t xml:space="preserve">Evidence links</t>
  </si>
  <si>
    <t xml:space="preserve">How we can see it (command, URL, file)</t>
  </si>
  <si>
    <t xml:space="preserve">Core</t>
  </si>
  <si>
    <t xml:space="preserve">All must-haves pass.</t>
  </si>
  <si>
    <t xml:space="preserve">The 8-step worked example below runs exactly as described, on your own test video.</t>
  </si>
  <si>
    <t xml:space="preserve">Works on one single-speaker video and one video with two or more speakers.</t>
  </si>
  <si>
    <t xml:space="preserve">Advanced</t>
  </si>
  <si>
    <t xml:space="preserve">Edits that shift each other: captions follow their words; a caption whose words are cut is removed and the user is told; partial cuts of a captioned phrase follow a defined rule; sped-up captions keep a readable minimum (about 0.7 s).</t>
  </si>
  <si>
    <t xml:space="preserve">Ambiguity and references: "that caption", "the boring part", "make it shorter", "put back what I removed" all ask or state an assumption with options; meaning-based search ("pricing" finds "cost") shows matches before cutting.</t>
  </si>
  <si>
    <t xml:space="preserve">Conflicts: repeated instructions are safe; deliberate pauses survive later silence removal; impossible or whole-video cuts are rejected; overlapping speed changes follow a documented rule; multi-part instructions apply all or report exactly which parts applied.</t>
  </si>
  <si>
    <t xml:space="preserve">Two speakers: "remove everything the guest says about their old job" removes only the guest's lines and asks about the host's lead-in question.</t>
  </si>
  <si>
    <t xml:space="preserve">Outstanding</t>
  </si>
  <si>
    <t xml:space="preserve">Imperfect data: cuts snap to nearby silence so no word is clipped; low-confidence words are flagged, not bleeped blindly; variable frame rate and no-audio videos work or fail clearly; overlapping speech and possible speaker-label swaps produce warnings.</t>
  </si>
  <si>
    <t xml:space="preserve">Scale: on a 60-minute video, each instruction responds in under 3 seconds (excluding first transcription and rendering).</t>
  </si>
  <si>
    <t xml:space="preserve">Export: the timeline exports to OpenTimelineIO so other editors can open it.</t>
  </si>
  <si>
    <t xml:space="preserve">Proof: an automated suite of at least 40 scripted scenarios with expected results runs in CI.</t>
  </si>
  <si>
    <t xml:space="preserve">Level reached (calculated)</t>
  </si>
  <si>
    <t xml:space="preserve">Level marks claimed (out of 40)</t>
  </si>
  <si>
    <t xml:space="preserve">Integration Standard - 2 marks each (20)</t>
  </si>
  <si>
    <t xml:space="preserve">Yes = fully meets it (2), Partial = partly (1), No = missing (0).</t>
  </si>
  <si>
    <t xml:space="preserve">Point</t>
  </si>
  <si>
    <t xml:space="preserve">What exactly we check</t>
  </si>
  <si>
    <t xml:space="preserve">1. One-command start and test</t>
  </si>
  <si>
    <t xml:space="preserve">docker compose up starts the service and everything it needs (database, storage, local test servers). One command runs all tests (unit, integration and at least one end-to-end) with no API keys. A .env.example lists every setting.</t>
  </si>
  <si>
    <t xml:space="preserve">2. Documented HTTP API</t>
  </si>
  <si>
    <t xml:space="preserve">An openapi.yaml (OpenAPI 3.1) that matches the running service exactly. All routes under /api/v1/.</t>
  </si>
  <si>
    <t xml:space="preserve">3. Background jobs</t>
  </si>
  <si>
    <t xml:space="preserve">Anything slower than 2 seconds runs as a job: POST returns 202 with a job_id; GET /api/v1/jobs/{job_id} returns status (queued, running, succeeded, failed), progress 0-100 and result links. Optional callback URL, signed with HMAC-SHA256 in an X-IncuBrix-Signature header.</t>
  </si>
  <si>
    <t xml:space="preserve">4. Safe retries</t>
  </si>
  <si>
    <t xml:space="preserve">An Idempotency-Key header on every POST: sending the same request twice with the same key returns the same job and never does the work twice.</t>
  </si>
  <si>
    <t xml:space="preserve">5. Clear errors</t>
  </si>
  <si>
    <t xml:space="preserve">Errors are JSON: {"error": {"code", "message", "retryable", "details"}}. Codes are UPPER_SNAKE_CASE and listed in the README.</t>
  </si>
  <si>
    <t xml:space="preserve">6. Configuration</t>
  </si>
  <si>
    <t xml:space="preserve">All settings, paths, model names and limits come from environment variables or a config file. No hard-coded paths or keys.</t>
  </si>
  <si>
    <t xml:space="preserve">7. Files in, files out</t>
  </si>
  <si>
    <t xml:space="preserve">Inputs accepted as an upload or a URL. Outputs saved to S3-compatible storage (MinIO in the compose file is fine) and returned as download links.</t>
  </si>
  <si>
    <t xml:space="preserve">8. Logs and health</t>
  </si>
  <si>
    <t xml:space="preserve">Structured JSON logs with timestamp, level, job_id and the X-Correlation-Id from the request. GET /health and GET /ready endpoints.</t>
  </si>
  <si>
    <t xml:space="preserve">9. Output manifest</t>
  </si>
  <si>
    <t xml:space="preserve">Every result includes a JSON manifest: which models/providers and versions were used, settings, seed, timings, cost estimate, warnings, and licence/rights information.</t>
  </si>
  <si>
    <t xml:space="preserve">10. Batch runner</t>
  </si>
  <si>
    <t xml:space="preserve">A command-line tool that runs a folder or file of test inputs against the API and writes all results to one folder. We use this to test every submission the same way.</t>
  </si>
  <si>
    <t xml:space="preserve">Integration marks claimed (out of 20)</t>
  </si>
  <si>
    <t xml:space="preserve">Measured numbers</t>
  </si>
  <si>
    <t xml:space="preserve">Real measurements only. State the hardware and the number of runs. 'Not measured' is acceptable; a guessed number is not.</t>
  </si>
  <si>
    <t xml:space="preserve">Metric</t>
  </si>
  <si>
    <t xml:space="preserve">How to measure it</t>
  </si>
  <si>
    <t xml:space="preserve">Your value</t>
  </si>
  <si>
    <t xml:space="preserve">Hardware / runs / conditions</t>
  </si>
  <si>
    <t xml:space="preserve">Instruction latency</t>
  </si>
  <si>
    <t xml:space="preserve">Median and slowest response time per instruction on a 5-minute and a 60-minute video (excluding first transcription and render).</t>
  </si>
  <si>
    <t xml:space="preserve">Render accuracy</t>
  </si>
  <si>
    <t xml:space="preserve">Largest A/V offset and largest length difference, in frames, across all renders.</t>
  </si>
  <si>
    <t xml:space="preserve">Determinism</t>
  </si>
  <si>
    <t xml:space="preserve">Share of sessions with identical timeline_hash across 3 runs (must be 100%).</t>
  </si>
  <si>
    <t xml:space="preserve">Clarification quality</t>
  </si>
  <si>
    <t xml:space="preserve">How many ambiguous instructions asked or stated an assumption, versus guessed.</t>
  </si>
  <si>
    <t xml:space="preserve">Word clipping</t>
  </si>
  <si>
    <t xml:space="preserve">Number of cuts that clip part of a word, from a listening check of 20 cuts.</t>
  </si>
  <si>
    <t xml:space="preserve">Cost</t>
  </si>
  <si>
    <t xml:space="preserve">Speech-to-text and language-model cost per minute of video edited.</t>
  </si>
  <si>
    <t xml:space="preserve">Hard cases you tested</t>
  </si>
  <si>
    <t xml:space="preserve">For each situation, say what your system does and link to the test output. We will run 5 hidden tests of these kinds.</t>
  </si>
  <si>
    <t xml:space="preserve">Situation</t>
  </si>
  <si>
    <t xml:space="preserve">Tested?</t>
  </si>
  <si>
    <t xml:space="preserve">What your system does</t>
  </si>
  <si>
    <t xml:space="preserve">A caption added, then the exact sentence under it cut; then that cut restored (the caption should come back).</t>
  </si>
  <si>
    <t xml:space="preserve">A section reordered, then a word inside it muted; filler removal cutting into a bleeped word.</t>
  </si>
  <si>
    <t xml:space="preserve">"Remove 0:30-0:40" sent twice; "add a caption at 5:00" on a shorter video; times as "80 seconds", "a minute twenty", "the last 10 seconds".</t>
  </si>
  <si>
    <t xml:space="preserve">"Undo the second-to-last cut but keep the music"; "make it bigger" when no caption exists.</t>
  </si>
  <si>
    <t xml:space="preserve">"Remove everything after I say thanks" where thanks is said four times.</t>
  </si>
  <si>
    <t xml:space="preserve">"Speed up 10x", "cut everything", and a three-part instruction where one part is impossible.</t>
  </si>
  <si>
    <t xml:space="preserve">A two-speaker video with a speaker-label swap, overlapping speech, background music, and a phone video with variable frame rate.</t>
  </si>
  <si>
    <t xml:space="preserve">Declaration</t>
  </si>
  <si>
    <t xml:space="preserve">Answer every statement. Submissions without a completed declaration are not reviewed.</t>
  </si>
  <si>
    <t xml:space="preserve">This is my individual work. I can explain and change any part of it.</t>
  </si>
  <si>
    <t xml:space="preserve">Every claim in this form is true and backed by the evidence I linked.</t>
  </si>
  <si>
    <t xml:space="preserve">All AI tools, models, APIs, libraries, data and media are listed in SOURCES.md and AI_USE.md.</t>
  </si>
  <si>
    <t xml:space="preserve">Everything in my default path, and everything it outputs, is licensed for commercial use.</t>
  </si>
  <si>
    <t xml:space="preserve">No outputs were edited by hand and presented as automated.</t>
  </si>
  <si>
    <t xml:space="preserve">No real person's voice, face or content was used without consent, and no community was spammed.</t>
  </si>
  <si>
    <t xml:space="preserve">No API keys or secrets are in the repository, logs, screenshots or this form.</t>
  </si>
  <si>
    <t xml:space="preserve">My live demo and links will stay available until results are announced.</t>
  </si>
  <si>
    <t xml:space="preserve">Full name (as signature)</t>
  </si>
  <si>
    <t xml:space="preserve">Date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</si>
</sst>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4212B"/>
      <name val="Arial"/>
      <family val="0"/>
      <charset val="1"/>
    </font>
    <font>
      <b val="true"/>
      <sz val="10"/>
      <color rgb="FF14212B"/>
      <name val="Arial"/>
      <family val="0"/>
      <charset val="1"/>
    </font>
    <font>
      <i val="true"/>
      <sz val="10"/>
      <color rgb="FF5B6B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1B2B"/>
        <bgColor rgb="FF14212B"/>
      </patternFill>
    </fill>
    <fill>
      <patternFill patternType="solid">
        <fgColor rgb="FF008F8A"/>
        <bgColor rgb="FF008080"/>
      </patternFill>
    </fill>
    <fill>
      <patternFill patternType="solid">
        <fgColor rgb="FFF3F5F7"/>
        <bgColor rgb="FFE7F5F3"/>
      </patternFill>
    </fill>
    <fill>
      <patternFill patternType="solid">
        <fgColor rgb="FF12324D"/>
        <bgColor rgb="FF14212B"/>
      </patternFill>
    </fill>
    <fill>
      <patternFill patternType="solid">
        <fgColor rgb="FFE7F5F3"/>
        <bgColor rgb="FFF3F5F7"/>
      </patternFill>
    </fill>
    <fill>
      <patternFill patternType="solid">
        <fgColor rgb="FFFFF4C7"/>
        <bgColor rgb="FFF3F5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DE3"/>
      </left>
      <right/>
      <top style="thin">
        <color rgb="FFD5DDE3"/>
      </top>
      <bottom style="thin">
        <color rgb="FFD5DDE3"/>
      </bottom>
      <diagonal/>
    </border>
    <border diagonalUp="false" diagonalDown="false"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F8A"/>
      <rgbColor rgb="FFC0C0C0"/>
      <rgbColor rgb="FF808080"/>
      <rgbColor rgb="FF9999FF"/>
      <rgbColor rgb="FF993366"/>
      <rgbColor rgb="FFFFF4C7"/>
      <rgbColor rgb="FFE7F5F3"/>
      <rgbColor rgb="FF660066"/>
      <rgbColor rgb="FFFF8080"/>
      <rgbColor rgb="FF0066CC"/>
      <rgbColor rgb="FFD5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69696"/>
      <rgbColor rgb="FF12324D"/>
      <rgbColor rgb="FF339966"/>
      <rgbColor rgb="FF0B1B2B"/>
      <rgbColor rgb="FF333300"/>
      <rgbColor rgb="FF993300"/>
      <rgbColor rgb="FF993366"/>
      <rgbColor rgb="FF333399"/>
      <rgbColor rgb="FF1421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6"/>
    <col collapsed="false" customWidth="true" hidden="false" outlineLevel="0" max="3" min="3" style="0" width="16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31.5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 t="n">
        <v>1</v>
      </c>
      <c r="B4" s="4" t="s">
        <v>2</v>
      </c>
    </row>
    <row r="5" customFormat="false" ht="19.5" hidden="false" customHeight="true" outlineLevel="0" collapsed="false">
      <c r="A5" s="3" t="n">
        <v>2</v>
      </c>
      <c r="B5" s="4" t="s">
        <v>3</v>
      </c>
    </row>
    <row r="6" customFormat="false" ht="19.5" hidden="false" customHeight="true" outlineLevel="0" collapsed="false">
      <c r="A6" s="3" t="n">
        <v>3</v>
      </c>
      <c r="B6" s="4" t="s">
        <v>4</v>
      </c>
    </row>
    <row r="7" customFormat="false" ht="19.5" hidden="false" customHeight="true" outlineLevel="0" collapsed="false">
      <c r="A7" s="3" t="n">
        <v>4</v>
      </c>
      <c r="B7" s="4" t="s">
        <v>5</v>
      </c>
    </row>
    <row r="8" customFormat="false" ht="19.5" hidden="false" customHeight="true" outlineLevel="0" collapsed="false">
      <c r="A8" s="3" t="n">
        <v>5</v>
      </c>
      <c r="B8" s="4" t="s">
        <v>6</v>
      </c>
    </row>
    <row r="9" customFormat="false" ht="19.5" hidden="false" customHeight="true" outlineLevel="0" collapsed="false">
      <c r="A9" s="3" t="n">
        <v>6</v>
      </c>
      <c r="B9" s="4" t="s">
        <v>7</v>
      </c>
    </row>
    <row r="10" customFormat="false" ht="19.5" hidden="false" customHeight="true" outlineLevel="0" collapsed="false">
      <c r="A10" s="3" t="n">
        <v>7</v>
      </c>
      <c r="B10" s="4" t="s">
        <v>8</v>
      </c>
    </row>
    <row r="11" customFormat="false" ht="19.5" hidden="false" customHeight="true" outlineLevel="0" collapsed="false">
      <c r="A11" s="3" t="n">
        <v>8</v>
      </c>
      <c r="B11" s="4" t="s">
        <v>9</v>
      </c>
    </row>
    <row r="13" customFormat="false" ht="15" hidden="false" customHeight="false" outlineLevel="0" collapsed="false">
      <c r="B13" s="5" t="s">
        <v>10</v>
      </c>
    </row>
    <row r="15" customFormat="false" ht="15" hidden="false" customHeight="false" outlineLevel="0" collapsed="false">
      <c r="B15" s="6" t="s">
        <v>11</v>
      </c>
      <c r="C15" s="7"/>
    </row>
    <row r="16" customFormat="false" ht="15" hidden="false" customHeight="false" outlineLevel="0" collapsed="false">
      <c r="B16" s="5" t="s">
        <v>12</v>
      </c>
      <c r="C16" s="8" t="str">
        <f aca="false">COUNTIF(2_Must_haves!C6:C13,"Yes")&amp;" of 8"</f>
        <v>0 of 8</v>
      </c>
    </row>
    <row r="17" customFormat="false" ht="15" hidden="false" customHeight="false" outlineLevel="0" collapsed="false">
      <c r="B17" s="5" t="s">
        <v>13</v>
      </c>
      <c r="C17" s="8" t="str">
        <f aca="false">3_Levels!C17</f>
        <v>Below Core</v>
      </c>
    </row>
    <row r="18" customFormat="false" ht="15" hidden="false" customHeight="false" outlineLevel="0" collapsed="false">
      <c r="B18" s="5" t="s">
        <v>14</v>
      </c>
      <c r="C18" s="8" t="n">
        <f aca="false">3_Levels!C18</f>
        <v>0</v>
      </c>
    </row>
    <row r="19" customFormat="false" ht="15" hidden="false" customHeight="false" outlineLevel="0" collapsed="false">
      <c r="B19" s="5" t="s">
        <v>15</v>
      </c>
      <c r="C19" s="8" t="n">
        <f aca="false">4_Integration!C15</f>
        <v>0</v>
      </c>
    </row>
    <row r="20" customFormat="false" ht="15" hidden="false" customHeight="false" outlineLevel="0" collapsed="false">
      <c r="B20" s="5" t="s">
        <v>16</v>
      </c>
      <c r="C20" s="8" t="n">
        <f aca="false">3_Levels!C18+4_Integration!C15</f>
        <v>0</v>
      </c>
    </row>
    <row r="22" customFormat="false" ht="43.5" hidden="false" customHeight="true" outlineLevel="0" collapsed="false">
      <c r="B22" s="9" t="s">
        <v>17</v>
      </c>
      <c r="C22" s="9"/>
    </row>
  </sheetData>
  <mergeCells count="3">
    <mergeCell ref="A1:C1"/>
    <mergeCell ref="A2:C2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24" hidden="false" customHeight="true" outlineLevel="0" collapsed="false">
      <c r="A1" s="1" t="s">
        <v>18</v>
      </c>
      <c r="B1" s="1"/>
    </row>
    <row r="2" customFormat="false" ht="31.5" hidden="false" customHeight="true" outlineLevel="0" collapsed="false">
      <c r="A2" s="2" t="s">
        <v>19</v>
      </c>
      <c r="B2" s="2"/>
    </row>
    <row r="4" customFormat="false" ht="19.5" hidden="false" customHeight="true" outlineLevel="0" collapsed="false">
      <c r="A4" s="5" t="s">
        <v>20</v>
      </c>
      <c r="B4" s="10"/>
    </row>
    <row r="5" customFormat="false" ht="19.5" hidden="false" customHeight="true" outlineLevel="0" collapsed="false">
      <c r="A5" s="5" t="s">
        <v>21</v>
      </c>
      <c r="B5" s="10"/>
    </row>
    <row r="6" customFormat="false" ht="19.5" hidden="false" customHeight="true" outlineLevel="0" collapsed="false">
      <c r="A6" s="5" t="s">
        <v>22</v>
      </c>
      <c r="B6" s="10"/>
    </row>
    <row r="7" customFormat="false" ht="19.5" hidden="false" customHeight="true" outlineLevel="0" collapsed="false">
      <c r="A7" s="5" t="s">
        <v>23</v>
      </c>
      <c r="B7" s="10"/>
    </row>
    <row r="8" customFormat="false" ht="19.5" hidden="false" customHeight="true" outlineLevel="0" collapsed="false">
      <c r="A8" s="5" t="s">
        <v>24</v>
      </c>
      <c r="B8" s="10"/>
    </row>
    <row r="9" customFormat="false" ht="19.5" hidden="false" customHeight="true" outlineLevel="0" collapsed="false">
      <c r="A9" s="5" t="s">
        <v>25</v>
      </c>
      <c r="B9" s="10"/>
    </row>
    <row r="10" customFormat="false" ht="19.5" hidden="false" customHeight="true" outlineLevel="0" collapsed="false">
      <c r="A10" s="5" t="s">
        <v>26</v>
      </c>
      <c r="B10" s="10"/>
    </row>
    <row r="11" customFormat="false" ht="19.5" hidden="false" customHeight="true" outlineLevel="0" collapsed="false">
      <c r="A11" s="5" t="s">
        <v>27</v>
      </c>
      <c r="B11" s="10"/>
    </row>
    <row r="12" customFormat="false" ht="19.5" hidden="false" customHeight="true" outlineLevel="0" collapsed="false">
      <c r="A12" s="5" t="s">
        <v>28</v>
      </c>
      <c r="B12" s="10"/>
    </row>
    <row r="13" customFormat="false" ht="19.5" hidden="false" customHeight="true" outlineLevel="0" collapsed="false">
      <c r="A13" s="5" t="s">
        <v>29</v>
      </c>
      <c r="B13" s="10"/>
    </row>
    <row r="14" customFormat="false" ht="19.5" hidden="false" customHeight="true" outlineLevel="0" collapsed="false">
      <c r="A14" s="5" t="s">
        <v>30</v>
      </c>
      <c r="B14" s="10"/>
    </row>
    <row r="15" customFormat="false" ht="19.5" hidden="false" customHeight="true" outlineLevel="0" collapsed="false">
      <c r="A15" s="5" t="s">
        <v>31</v>
      </c>
      <c r="B15" s="10"/>
    </row>
    <row r="16" customFormat="false" ht="19.5" hidden="false" customHeight="true" outlineLevel="0" collapsed="false">
      <c r="A16" s="5" t="s">
        <v>32</v>
      </c>
      <c r="B16" s="10"/>
    </row>
    <row r="17" customFormat="false" ht="19.5" hidden="false" customHeight="true" outlineLevel="0" collapsed="false">
      <c r="A17" s="5" t="s">
        <v>33</v>
      </c>
      <c r="B17" s="10"/>
    </row>
    <row r="18" customFormat="false" ht="19.5" hidden="false" customHeight="true" outlineLevel="0" collapsed="false">
      <c r="A18" s="5" t="s">
        <v>34</v>
      </c>
      <c r="B18" s="10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36"/>
  </cols>
  <sheetData>
    <row r="1" customFormat="false" ht="24" hidden="false" customHeight="true" outlineLevel="0" collapsed="false">
      <c r="A1" s="1" t="s">
        <v>35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36</v>
      </c>
      <c r="B2" s="2"/>
      <c r="C2" s="2"/>
      <c r="D2" s="2"/>
      <c r="E2" s="2"/>
    </row>
    <row r="4" customFormat="false" ht="30" hidden="false" customHeight="true" outlineLevel="0" collapsed="false">
      <c r="A4" s="6" t="s">
        <v>37</v>
      </c>
      <c r="B4" s="6" t="s">
        <v>38</v>
      </c>
      <c r="C4" s="6" t="s">
        <v>39</v>
      </c>
      <c r="D4" s="6" t="s">
        <v>40</v>
      </c>
      <c r="E4" s="6" t="s">
        <v>41</v>
      </c>
    </row>
    <row r="5" customFormat="false" ht="23.85" hidden="false" customHeight="false" outlineLevel="0" collapsed="false">
      <c r="A5" s="11" t="s">
        <v>42</v>
      </c>
      <c r="B5" s="11" t="s">
        <v>43</v>
      </c>
      <c r="C5" s="11" t="s">
        <v>44</v>
      </c>
      <c r="D5" s="11" t="s">
        <v>45</v>
      </c>
      <c r="E5" s="11" t="s">
        <v>46</v>
      </c>
    </row>
    <row r="6" customFormat="false" ht="55.5" hidden="false" customHeight="true" outlineLevel="0" collapsed="false">
      <c r="A6" s="4" t="n">
        <v>1</v>
      </c>
      <c r="B6" s="4" t="s">
        <v>47</v>
      </c>
      <c r="C6" s="10"/>
      <c r="D6" s="10"/>
      <c r="E6" s="10"/>
    </row>
    <row r="7" customFormat="false" ht="55.5" hidden="false" customHeight="true" outlineLevel="0" collapsed="false">
      <c r="A7" s="4" t="n">
        <v>2</v>
      </c>
      <c r="B7" s="4" t="s">
        <v>48</v>
      </c>
      <c r="C7" s="10"/>
      <c r="D7" s="10"/>
      <c r="E7" s="10"/>
    </row>
    <row r="8" customFormat="false" ht="42" hidden="false" customHeight="true" outlineLevel="0" collapsed="false">
      <c r="A8" s="4" t="n">
        <v>3</v>
      </c>
      <c r="B8" s="4" t="s">
        <v>49</v>
      </c>
      <c r="C8" s="10"/>
      <c r="D8" s="10"/>
      <c r="E8" s="10"/>
    </row>
    <row r="9" customFormat="false" ht="69.75" hidden="false" customHeight="true" outlineLevel="0" collapsed="false">
      <c r="A9" s="4" t="n">
        <v>4</v>
      </c>
      <c r="B9" s="4" t="s">
        <v>50</v>
      </c>
      <c r="C9" s="10"/>
      <c r="D9" s="10"/>
      <c r="E9" s="10"/>
    </row>
    <row r="10" customFormat="false" ht="55.5" hidden="false" customHeight="true" outlineLevel="0" collapsed="false">
      <c r="A10" s="4" t="n">
        <v>5</v>
      </c>
      <c r="B10" s="4" t="s">
        <v>51</v>
      </c>
      <c r="C10" s="10"/>
      <c r="D10" s="10"/>
      <c r="E10" s="10"/>
    </row>
    <row r="11" customFormat="false" ht="42" hidden="false" customHeight="true" outlineLevel="0" collapsed="false">
      <c r="A11" s="4" t="n">
        <v>6</v>
      </c>
      <c r="B11" s="4" t="s">
        <v>52</v>
      </c>
      <c r="C11" s="10"/>
      <c r="D11" s="10"/>
      <c r="E11" s="10"/>
    </row>
    <row r="12" customFormat="false" ht="55.5" hidden="false" customHeight="true" outlineLevel="0" collapsed="false">
      <c r="A12" s="4" t="n">
        <v>7</v>
      </c>
      <c r="B12" s="4" t="s">
        <v>53</v>
      </c>
      <c r="C12" s="10"/>
      <c r="D12" s="10"/>
      <c r="E12" s="10"/>
    </row>
    <row r="13" customFormat="false" ht="42" hidden="false" customHeight="true" outlineLevel="0" collapsed="false">
      <c r="A13" s="4" t="n">
        <v>8</v>
      </c>
      <c r="B13" s="4" t="s">
        <v>54</v>
      </c>
      <c r="C13" s="10"/>
      <c r="D13" s="10"/>
      <c r="E13" s="10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C6:C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2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34"/>
  </cols>
  <sheetData>
    <row r="1" customFormat="false" ht="24" hidden="false" customHeight="true" outlineLevel="0" collapsed="false">
      <c r="A1" s="1" t="s">
        <v>55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56</v>
      </c>
      <c r="B2" s="2"/>
      <c r="C2" s="2"/>
      <c r="D2" s="2"/>
      <c r="E2" s="2"/>
    </row>
    <row r="4" customFormat="false" ht="30" hidden="false" customHeight="true" outlineLevel="0" collapsed="false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customFormat="false" ht="19.5" hidden="false" customHeight="true" outlineLevel="0" collapsed="false">
      <c r="A5" s="5" t="s">
        <v>62</v>
      </c>
      <c r="B5" s="4" t="s">
        <v>63</v>
      </c>
      <c r="C5" s="10"/>
      <c r="D5" s="10"/>
      <c r="E5" s="10"/>
    </row>
    <row r="6" customFormat="false" ht="27.75" hidden="false" customHeight="true" outlineLevel="0" collapsed="false">
      <c r="A6" s="5" t="s">
        <v>62</v>
      </c>
      <c r="B6" s="4" t="s">
        <v>64</v>
      </c>
      <c r="C6" s="10"/>
      <c r="D6" s="10"/>
      <c r="E6" s="10"/>
    </row>
    <row r="7" customFormat="false" ht="27.75" hidden="false" customHeight="true" outlineLevel="0" collapsed="false">
      <c r="A7" s="5" t="s">
        <v>62</v>
      </c>
      <c r="B7" s="4" t="s">
        <v>65</v>
      </c>
      <c r="C7" s="10"/>
      <c r="D7" s="10"/>
      <c r="E7" s="10"/>
    </row>
    <row r="8" customFormat="false" ht="69.75" hidden="false" customHeight="true" outlineLevel="0" collapsed="false">
      <c r="A8" s="5" t="s">
        <v>66</v>
      </c>
      <c r="B8" s="4" t="s">
        <v>67</v>
      </c>
      <c r="C8" s="10"/>
      <c r="D8" s="10"/>
      <c r="E8" s="10"/>
    </row>
    <row r="9" customFormat="false" ht="55.5" hidden="false" customHeight="true" outlineLevel="0" collapsed="false">
      <c r="A9" s="5" t="s">
        <v>66</v>
      </c>
      <c r="B9" s="4" t="s">
        <v>68</v>
      </c>
      <c r="C9" s="10"/>
      <c r="D9" s="10"/>
      <c r="E9" s="10"/>
    </row>
    <row r="10" customFormat="false" ht="69.75" hidden="false" customHeight="true" outlineLevel="0" collapsed="false">
      <c r="A10" s="5" t="s">
        <v>66</v>
      </c>
      <c r="B10" s="4" t="s">
        <v>69</v>
      </c>
      <c r="C10" s="10"/>
      <c r="D10" s="10"/>
      <c r="E10" s="10"/>
    </row>
    <row r="11" customFormat="false" ht="42" hidden="false" customHeight="true" outlineLevel="0" collapsed="false">
      <c r="A11" s="5" t="s">
        <v>66</v>
      </c>
      <c r="B11" s="4" t="s">
        <v>70</v>
      </c>
      <c r="C11" s="10"/>
      <c r="D11" s="10"/>
      <c r="E11" s="10"/>
    </row>
    <row r="12" customFormat="false" ht="69.75" hidden="false" customHeight="true" outlineLevel="0" collapsed="false">
      <c r="A12" s="5" t="s">
        <v>71</v>
      </c>
      <c r="B12" s="4" t="s">
        <v>72</v>
      </c>
      <c r="C12" s="10"/>
      <c r="D12" s="10"/>
      <c r="E12" s="10"/>
    </row>
    <row r="13" customFormat="false" ht="42" hidden="false" customHeight="true" outlineLevel="0" collapsed="false">
      <c r="A13" s="5" t="s">
        <v>71</v>
      </c>
      <c r="B13" s="4" t="s">
        <v>73</v>
      </c>
      <c r="C13" s="10"/>
      <c r="D13" s="10"/>
      <c r="E13" s="10"/>
    </row>
    <row r="14" customFormat="false" ht="27.75" hidden="false" customHeight="true" outlineLevel="0" collapsed="false">
      <c r="A14" s="5" t="s">
        <v>71</v>
      </c>
      <c r="B14" s="4" t="s">
        <v>74</v>
      </c>
      <c r="C14" s="10"/>
      <c r="D14" s="10"/>
      <c r="E14" s="10"/>
    </row>
    <row r="15" customFormat="false" ht="27.75" hidden="false" customHeight="true" outlineLevel="0" collapsed="false">
      <c r="A15" s="5" t="s">
        <v>71</v>
      </c>
      <c r="B15" s="4" t="s">
        <v>75</v>
      </c>
      <c r="C15" s="10"/>
      <c r="D15" s="10"/>
      <c r="E15" s="10"/>
    </row>
    <row r="17" customFormat="false" ht="15" hidden="false" customHeight="false" outlineLevel="0" collapsed="false">
      <c r="B17" s="5" t="s">
        <v>76</v>
      </c>
      <c r="C17" s="8" t="str">
        <f aca="false">IF(AND(AND(COUNTIF(C5:C7,"Yes")=3,COUNTIF(C8:C11,"Yes")=4),COUNTIF(C12:C15,"Yes")=4),"Outstanding",IF(AND(COUNTIF(C5:C7,"Yes")=3,COUNTIF(C8:C11,"Yes")=4),"Advanced",IF(COUNTIF(C5:C7,"Yes")=3,"Core","Below Core")))</f>
        <v>Below Core</v>
      </c>
      <c r="D17" s="8"/>
    </row>
    <row r="18" customFormat="false" ht="15" hidden="false" customHeight="false" outlineLevel="0" collapsed="false">
      <c r="B18" s="5" t="s">
        <v>77</v>
      </c>
      <c r="C18" s="8" t="n">
        <f aca="false">IF(AND(AND(COUNTIF(C5:C7,"Yes")=3,COUNTIF(C8:C11,"Yes")=4),COUNTIF(C12:C15,"Yes")=4),40,IF(AND(COUNTIF(C5:C7,"Yes")=3,COUNTIF(C8:C11,"Yes")=4),30,IF(COUNTIF(C5:C7,"Yes")=3,15,0)))</f>
        <v>0</v>
      </c>
    </row>
  </sheetData>
  <mergeCells count="3">
    <mergeCell ref="A1:E1"/>
    <mergeCell ref="A2:E2"/>
    <mergeCell ref="C17:D17"/>
  </mergeCells>
  <dataValidations count="1">
    <dataValidation allowBlank="true" errorStyle="stop" operator="between" showDropDown="false" showErrorMessage="false" showInputMessage="false" sqref="C5:C15" type="list">
      <formula1>"Yes,Partial,No"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46"/>
  </cols>
  <sheetData>
    <row r="1" customFormat="false" ht="24" hidden="false" customHeight="true" outlineLevel="0" collapsed="false">
      <c r="A1" s="1" t="s">
        <v>78</v>
      </c>
      <c r="B1" s="1"/>
      <c r="C1" s="1"/>
      <c r="D1" s="1"/>
    </row>
    <row r="2" customFormat="false" ht="31.5" hidden="false" customHeight="true" outlineLevel="0" collapsed="false">
      <c r="A2" s="2" t="s">
        <v>79</v>
      </c>
      <c r="B2" s="2"/>
      <c r="C2" s="2"/>
      <c r="D2" s="2"/>
    </row>
    <row r="4" customFormat="false" ht="30" hidden="false" customHeight="true" outlineLevel="0" collapsed="false">
      <c r="A4" s="6" t="s">
        <v>80</v>
      </c>
      <c r="B4" s="6" t="s">
        <v>81</v>
      </c>
      <c r="C4" s="6" t="s">
        <v>59</v>
      </c>
      <c r="D4" s="6" t="s">
        <v>60</v>
      </c>
    </row>
    <row r="5" customFormat="false" ht="69.75" hidden="false" customHeight="true" outlineLevel="0" collapsed="false">
      <c r="A5" s="5" t="s">
        <v>82</v>
      </c>
      <c r="B5" s="4" t="s">
        <v>83</v>
      </c>
      <c r="C5" s="10"/>
      <c r="D5" s="10"/>
    </row>
    <row r="6" customFormat="false" ht="27.75" hidden="false" customHeight="true" outlineLevel="0" collapsed="false">
      <c r="A6" s="5" t="s">
        <v>84</v>
      </c>
      <c r="B6" s="4" t="s">
        <v>85</v>
      </c>
      <c r="C6" s="10"/>
      <c r="D6" s="10"/>
    </row>
    <row r="7" customFormat="false" ht="69.75" hidden="false" customHeight="true" outlineLevel="0" collapsed="false">
      <c r="A7" s="5" t="s">
        <v>86</v>
      </c>
      <c r="B7" s="4" t="s">
        <v>87</v>
      </c>
      <c r="C7" s="10"/>
      <c r="D7" s="10"/>
    </row>
    <row r="8" customFormat="false" ht="42" hidden="false" customHeight="true" outlineLevel="0" collapsed="false">
      <c r="A8" s="5" t="s">
        <v>88</v>
      </c>
      <c r="B8" s="4" t="s">
        <v>89</v>
      </c>
      <c r="C8" s="10"/>
      <c r="D8" s="10"/>
    </row>
    <row r="9" customFormat="false" ht="42" hidden="false" customHeight="true" outlineLevel="0" collapsed="false">
      <c r="A9" s="5" t="s">
        <v>90</v>
      </c>
      <c r="B9" s="4" t="s">
        <v>91</v>
      </c>
      <c r="C9" s="10"/>
      <c r="D9" s="10"/>
    </row>
    <row r="10" customFormat="false" ht="42" hidden="false" customHeight="true" outlineLevel="0" collapsed="false">
      <c r="A10" s="5" t="s">
        <v>92</v>
      </c>
      <c r="B10" s="4" t="s">
        <v>93</v>
      </c>
      <c r="C10" s="10"/>
      <c r="D10" s="10"/>
    </row>
    <row r="11" customFormat="false" ht="42" hidden="false" customHeight="true" outlineLevel="0" collapsed="false">
      <c r="A11" s="5" t="s">
        <v>94</v>
      </c>
      <c r="B11" s="4" t="s">
        <v>95</v>
      </c>
      <c r="C11" s="10"/>
      <c r="D11" s="10"/>
    </row>
    <row r="12" customFormat="false" ht="42" hidden="false" customHeight="true" outlineLevel="0" collapsed="false">
      <c r="A12" s="5" t="s">
        <v>96</v>
      </c>
      <c r="B12" s="4" t="s">
        <v>97</v>
      </c>
      <c r="C12" s="10"/>
      <c r="D12" s="10"/>
    </row>
    <row r="13" customFormat="false" ht="55.5" hidden="false" customHeight="true" outlineLevel="0" collapsed="false">
      <c r="A13" s="5" t="s">
        <v>98</v>
      </c>
      <c r="B13" s="4" t="s">
        <v>99</v>
      </c>
      <c r="C13" s="10"/>
      <c r="D13" s="10"/>
    </row>
    <row r="14" customFormat="false" ht="55.5" hidden="false" customHeight="true" outlineLevel="0" collapsed="false">
      <c r="A14" s="5" t="s">
        <v>100</v>
      </c>
      <c r="B14" s="4" t="s">
        <v>101</v>
      </c>
      <c r="C14" s="10"/>
      <c r="D14" s="10"/>
    </row>
    <row r="15" customFormat="false" ht="15" hidden="false" customHeight="false" outlineLevel="0" collapsed="false">
      <c r="B15" s="5" t="s">
        <v>102</v>
      </c>
      <c r="C15" s="8" t="n">
        <f aca="false">COUNTIF(C5:C14,"Yes")*2+COUNTIF(C5:C14,"Partial")</f>
        <v>0</v>
      </c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C5:C14" type="list">
      <formula1>"Yes,Partial,No"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4" hidden="false" customHeight="true" outlineLevel="0" collapsed="false">
      <c r="A1" s="1" t="s">
        <v>103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104</v>
      </c>
      <c r="B2" s="2"/>
      <c r="C2" s="2"/>
      <c r="D2" s="2"/>
      <c r="E2" s="2"/>
    </row>
    <row r="4" customFormat="false" ht="30" hidden="false" customHeight="true" outlineLevel="0" collapsed="false">
      <c r="A4" s="6" t="s">
        <v>105</v>
      </c>
      <c r="B4" s="6" t="s">
        <v>106</v>
      </c>
      <c r="C4" s="6" t="s">
        <v>107</v>
      </c>
      <c r="D4" s="6" t="s">
        <v>108</v>
      </c>
      <c r="E4" s="6" t="s">
        <v>60</v>
      </c>
    </row>
    <row r="5" customFormat="false" ht="42" hidden="false" customHeight="true" outlineLevel="0" collapsed="false">
      <c r="A5" s="5" t="s">
        <v>109</v>
      </c>
      <c r="B5" s="4" t="s">
        <v>110</v>
      </c>
      <c r="C5" s="10"/>
      <c r="D5" s="10"/>
      <c r="E5" s="10"/>
    </row>
    <row r="6" customFormat="false" ht="27.75" hidden="false" customHeight="true" outlineLevel="0" collapsed="false">
      <c r="A6" s="5" t="s">
        <v>111</v>
      </c>
      <c r="B6" s="4" t="s">
        <v>112</v>
      </c>
      <c r="C6" s="10"/>
      <c r="D6" s="10"/>
      <c r="E6" s="10"/>
    </row>
    <row r="7" customFormat="false" ht="27.75" hidden="false" customHeight="true" outlineLevel="0" collapsed="false">
      <c r="A7" s="5" t="s">
        <v>113</v>
      </c>
      <c r="B7" s="4" t="s">
        <v>114</v>
      </c>
      <c r="C7" s="10"/>
      <c r="D7" s="10"/>
      <c r="E7" s="10"/>
    </row>
    <row r="8" customFormat="false" ht="27.75" hidden="false" customHeight="true" outlineLevel="0" collapsed="false">
      <c r="A8" s="5" t="s">
        <v>115</v>
      </c>
      <c r="B8" s="4" t="s">
        <v>116</v>
      </c>
      <c r="C8" s="10"/>
      <c r="D8" s="10"/>
      <c r="E8" s="10"/>
    </row>
    <row r="9" customFormat="false" ht="27.75" hidden="false" customHeight="true" outlineLevel="0" collapsed="false">
      <c r="A9" s="5" t="s">
        <v>117</v>
      </c>
      <c r="B9" s="4" t="s">
        <v>118</v>
      </c>
      <c r="C9" s="10"/>
      <c r="D9" s="10"/>
      <c r="E9" s="10"/>
    </row>
    <row r="10" customFormat="false" ht="27.75" hidden="false" customHeight="true" outlineLevel="0" collapsed="false">
      <c r="A10" s="5" t="s">
        <v>119</v>
      </c>
      <c r="B10" s="4" t="s">
        <v>120</v>
      </c>
      <c r="C10" s="10"/>
      <c r="D10" s="10"/>
      <c r="E10" s="10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50"/>
    <col collapsed="false" customWidth="true" hidden="false" outlineLevel="0" max="5" min="5" style="0" width="40"/>
  </cols>
  <sheetData>
    <row r="1" customFormat="false" ht="24" hidden="false" customHeight="true" outlineLevel="0" collapsed="false">
      <c r="A1" s="1" t="s">
        <v>121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122</v>
      </c>
      <c r="B2" s="2"/>
      <c r="C2" s="2"/>
      <c r="D2" s="2"/>
      <c r="E2" s="2"/>
    </row>
    <row r="4" customFormat="false" ht="30" hidden="false" customHeight="true" outlineLevel="0" collapsed="false">
      <c r="A4" s="6" t="s">
        <v>37</v>
      </c>
      <c r="B4" s="6" t="s">
        <v>123</v>
      </c>
      <c r="C4" s="6" t="s">
        <v>124</v>
      </c>
      <c r="D4" s="6" t="s">
        <v>125</v>
      </c>
      <c r="E4" s="6" t="s">
        <v>60</v>
      </c>
    </row>
    <row r="5" customFormat="false" ht="42" hidden="false" customHeight="true" outlineLevel="0" collapsed="false">
      <c r="A5" s="4" t="n">
        <v>1</v>
      </c>
      <c r="B5" s="4" t="s">
        <v>126</v>
      </c>
      <c r="C5" s="10"/>
      <c r="D5" s="10"/>
      <c r="E5" s="10"/>
    </row>
    <row r="6" customFormat="false" ht="27.75" hidden="false" customHeight="true" outlineLevel="0" collapsed="false">
      <c r="A6" s="4" t="n">
        <v>2</v>
      </c>
      <c r="B6" s="4" t="s">
        <v>127</v>
      </c>
      <c r="C6" s="10"/>
      <c r="D6" s="10"/>
      <c r="E6" s="10"/>
    </row>
    <row r="7" customFormat="false" ht="42" hidden="false" customHeight="true" outlineLevel="0" collapsed="false">
      <c r="A7" s="4" t="n">
        <v>3</v>
      </c>
      <c r="B7" s="4" t="s">
        <v>128</v>
      </c>
      <c r="C7" s="10"/>
      <c r="D7" s="10"/>
      <c r="E7" s="10"/>
    </row>
    <row r="8" customFormat="false" ht="27.75" hidden="false" customHeight="true" outlineLevel="0" collapsed="false">
      <c r="A8" s="4" t="n">
        <v>4</v>
      </c>
      <c r="B8" s="4" t="s">
        <v>129</v>
      </c>
      <c r="C8" s="10"/>
      <c r="D8" s="10"/>
      <c r="E8" s="10"/>
    </row>
    <row r="9" customFormat="false" ht="27.75" hidden="false" customHeight="true" outlineLevel="0" collapsed="false">
      <c r="A9" s="4" t="n">
        <v>5</v>
      </c>
      <c r="B9" s="4" t="s">
        <v>130</v>
      </c>
      <c r="C9" s="10"/>
      <c r="D9" s="10"/>
      <c r="E9" s="10"/>
    </row>
    <row r="10" customFormat="false" ht="27.75" hidden="false" customHeight="true" outlineLevel="0" collapsed="false">
      <c r="A10" s="4" t="n">
        <v>6</v>
      </c>
      <c r="B10" s="4" t="s">
        <v>131</v>
      </c>
      <c r="C10" s="10"/>
      <c r="D10" s="10"/>
      <c r="E10" s="10"/>
    </row>
    <row r="11" customFormat="false" ht="42" hidden="false" customHeight="true" outlineLevel="0" collapsed="false">
      <c r="A11" s="4" t="n">
        <v>7</v>
      </c>
      <c r="B11" s="4" t="s">
        <v>132</v>
      </c>
      <c r="C11" s="10"/>
      <c r="D11" s="10"/>
      <c r="E11" s="10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C5:C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"/>
  </cols>
  <sheetData>
    <row r="1" customFormat="false" ht="24" hidden="false" customHeight="true" outlineLevel="0" collapsed="false">
      <c r="A1" s="1" t="s">
        <v>133</v>
      </c>
      <c r="B1" s="1"/>
    </row>
    <row r="2" customFormat="false" ht="31.5" hidden="false" customHeight="true" outlineLevel="0" collapsed="false">
      <c r="A2" s="2" t="s">
        <v>134</v>
      </c>
      <c r="B2" s="2"/>
    </row>
    <row r="4" customFormat="false" ht="19.5" hidden="false" customHeight="true" outlineLevel="0" collapsed="false">
      <c r="A4" s="4" t="s">
        <v>135</v>
      </c>
      <c r="B4" s="10"/>
    </row>
    <row r="5" customFormat="false" ht="19.5" hidden="false" customHeight="true" outlineLevel="0" collapsed="false">
      <c r="A5" s="4" t="s">
        <v>136</v>
      </c>
      <c r="B5" s="10"/>
    </row>
    <row r="6" customFormat="false" ht="19.5" hidden="false" customHeight="true" outlineLevel="0" collapsed="false">
      <c r="A6" s="4" t="s">
        <v>137</v>
      </c>
      <c r="B6" s="10"/>
    </row>
    <row r="7" customFormat="false" ht="19.5" hidden="false" customHeight="true" outlineLevel="0" collapsed="false">
      <c r="A7" s="4" t="s">
        <v>138</v>
      </c>
      <c r="B7" s="10"/>
    </row>
    <row r="8" customFormat="false" ht="19.5" hidden="false" customHeight="true" outlineLevel="0" collapsed="false">
      <c r="A8" s="4" t="s">
        <v>139</v>
      </c>
      <c r="B8" s="10"/>
    </row>
    <row r="9" customFormat="false" ht="19.5" hidden="false" customHeight="true" outlineLevel="0" collapsed="false">
      <c r="A9" s="4" t="s">
        <v>140</v>
      </c>
      <c r="B9" s="10"/>
    </row>
    <row r="10" customFormat="false" ht="19.5" hidden="false" customHeight="true" outlineLevel="0" collapsed="false">
      <c r="A10" s="4" t="s">
        <v>141</v>
      </c>
      <c r="B10" s="10"/>
    </row>
    <row r="11" customFormat="false" ht="19.5" hidden="false" customHeight="true" outlineLevel="0" collapsed="false">
      <c r="A11" s="4" t="s">
        <v>142</v>
      </c>
      <c r="B11" s="10"/>
    </row>
    <row r="12" customFormat="false" ht="15" hidden="false" customHeight="false" outlineLevel="0" collapsed="false">
      <c r="A12" s="5" t="s">
        <v>143</v>
      </c>
      <c r="B12" s="10"/>
    </row>
    <row r="13" customFormat="false" ht="15" hidden="false" customHeight="false" outlineLevel="0" collapsed="false">
      <c r="A13" s="5" t="s">
        <v>144</v>
      </c>
      <c r="B13" s="10"/>
    </row>
  </sheetData>
  <mergeCells count="2">
    <mergeCell ref="A1:B1"/>
    <mergeCell ref="A2:B2"/>
  </mergeCells>
  <dataValidations count="1">
    <dataValidation allowBlank="true" errorStyle="stop" operator="between" showDropDown="false" showErrorMessage="false" showInputMessage="false" sqref="B4:B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2026-10-13T08:20:02Z</dcterms:created>
  <dc:creator>openpyxl</dc:creator>
  <dc:description/>
  <dc:language>en-US</dc:language>
  <cp:lastModifiedBy/>
  <dcterms:modified xsi:type="dcterms:W3CDTF">2026-10-13T08:20:02Z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